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&amp; Parameter" sheetId="1" state="visible" r:id="rId1"/>
    <sheet xmlns:r="http://schemas.openxmlformats.org/officeDocument/2006/relationships" name="Langkah 1 - Jarak Euclidean" sheetId="2" state="visible" r:id="rId2"/>
    <sheet xmlns:r="http://schemas.openxmlformats.org/officeDocument/2006/relationships" name="Langkah 2 - Ranking &amp; Voting" sheetId="3" state="visible" r:id="rId3"/>
    <sheet xmlns:r="http://schemas.openxmlformats.org/officeDocument/2006/relationships" name="Rekap Laporan KN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1F4E79"/>
      <sz val="11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C00000"/>
      <sz val="11"/>
    </font>
    <font>
      <name val="Segoe UI"/>
      <b val="1"/>
      <color rgb="00C00000"/>
      <sz val="14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1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5" fillId="4" borderId="0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164" fontId="6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7" fillId="3" borderId="4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8" fillId="3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>
      <c r="A1" s="1" t="inlineStr">
        <is>
          <t>PERHITUNGAN MANUAL ALGORITMA K-NEAREST NEIGHBORS (K-NN)</t>
        </is>
      </c>
    </row>
    <row r="2">
      <c r="A2" s="2" t="inlineStr">
        <is>
          <t>Sistem Rekomendasi Ekstrakurikuler Siswa - MTsN 2 Pesisir Selatan</t>
        </is>
      </c>
    </row>
    <row r="3"/>
    <row r="4">
      <c r="A4" s="3" t="inlineStr">
        <is>
          <t>PARAMETER &amp; DATA UJI SISWA</t>
        </is>
      </c>
    </row>
    <row r="5">
      <c r="A5" s="4" t="inlineStr">
        <is>
          <t>Nama Siswa Uji</t>
        </is>
      </c>
      <c r="B5" s="5" t="inlineStr">
        <is>
          <t>Abdi Wijaya</t>
        </is>
      </c>
    </row>
    <row r="6">
      <c r="A6" s="4" t="inlineStr">
        <is>
          <t>Nilai Matematika (MTK)</t>
        </is>
      </c>
      <c r="B6" s="6" t="n">
        <v>83</v>
      </c>
    </row>
    <row r="7">
      <c r="A7" s="4" t="inlineStr">
        <is>
          <t>Nilai IPA</t>
        </is>
      </c>
      <c r="B7" s="6" t="n">
        <v>81</v>
      </c>
    </row>
    <row r="8">
      <c r="A8" s="4" t="inlineStr">
        <is>
          <t>Nilai IPS</t>
        </is>
      </c>
      <c r="B8" s="6" t="n">
        <v>84</v>
      </c>
    </row>
    <row r="9">
      <c r="A9" s="4" t="inlineStr">
        <is>
          <t>Nilai Bahasa Indonesia (BINDO)</t>
        </is>
      </c>
      <c r="B9" s="6" t="n">
        <v>80</v>
      </c>
    </row>
    <row r="10">
      <c r="A10" s="4" t="inlineStr">
        <is>
          <t>Nilai PJOK</t>
        </is>
      </c>
      <c r="B10" s="6" t="n">
        <v>81</v>
      </c>
    </row>
    <row r="11">
      <c r="A11" s="4" t="inlineStr">
        <is>
          <t>Nilai Seni Budaya (SBP)</t>
        </is>
      </c>
      <c r="B11" s="6" t="n">
        <v>85</v>
      </c>
    </row>
    <row r="12">
      <c r="A12" s="4" t="inlineStr">
        <is>
          <t>Nilai K (Tetangga Terdekat)</t>
        </is>
      </c>
      <c r="B12" s="6" t="n">
        <v>3</v>
      </c>
    </row>
    <row r="13"/>
    <row r="14">
      <c r="A14" s="3" t="inlineStr">
        <is>
          <t>DATA TRAINING SISWA (32 DATA)</t>
        </is>
      </c>
    </row>
    <row r="15">
      <c r="A15" s="7" t="inlineStr">
        <is>
          <t>No</t>
        </is>
      </c>
      <c r="B15" s="7" t="inlineStr">
        <is>
          <t>Nama Siswa</t>
        </is>
      </c>
      <c r="C15" s="7" t="inlineStr">
        <is>
          <t>MTK</t>
        </is>
      </c>
      <c r="D15" s="7" t="inlineStr">
        <is>
          <t>IPA</t>
        </is>
      </c>
      <c r="E15" s="7" t="inlineStr">
        <is>
          <t>IPS</t>
        </is>
      </c>
      <c r="F15" s="7" t="inlineStr">
        <is>
          <t>BINDO</t>
        </is>
      </c>
      <c r="G15" s="7" t="inlineStr">
        <is>
          <t>PJOK</t>
        </is>
      </c>
      <c r="H15" s="7" t="inlineStr">
        <is>
          <t>SBP</t>
        </is>
      </c>
      <c r="I15" s="7" t="inlineStr">
        <is>
          <t>Rank</t>
        </is>
      </c>
      <c r="J15" s="7" t="inlineStr">
        <is>
          <t>Ekstrakurikuler</t>
        </is>
      </c>
    </row>
    <row r="16">
      <c r="A16" s="8" t="n">
        <v>1</v>
      </c>
      <c r="B16" s="9" t="inlineStr">
        <is>
          <t>ADAM ROMARTA</t>
        </is>
      </c>
      <c r="C16" s="8" t="n">
        <v>84</v>
      </c>
      <c r="D16" s="8" t="n">
        <v>88</v>
      </c>
      <c r="E16" s="8" t="n">
        <v>88</v>
      </c>
      <c r="F16" s="8" t="n">
        <v>95</v>
      </c>
      <c r="G16" s="8" t="n">
        <v>88</v>
      </c>
      <c r="H16" s="8" t="n">
        <v>91</v>
      </c>
      <c r="I16" s="8" t="n">
        <v>2</v>
      </c>
      <c r="J16" s="8" t="inlineStr">
        <is>
          <t>Voli</t>
        </is>
      </c>
    </row>
    <row r="17">
      <c r="A17" s="8" t="n">
        <v>2</v>
      </c>
      <c r="B17" s="9" t="inlineStr">
        <is>
          <t>AISYA VANDRILLA</t>
        </is>
      </c>
      <c r="C17" s="8" t="n">
        <v>83</v>
      </c>
      <c r="D17" s="8" t="n">
        <v>81</v>
      </c>
      <c r="E17" s="8" t="n">
        <v>89</v>
      </c>
      <c r="F17" s="8" t="n">
        <v>80</v>
      </c>
      <c r="G17" s="8" t="n">
        <v>83</v>
      </c>
      <c r="H17" s="8" t="n">
        <v>93</v>
      </c>
      <c r="I17" s="8" t="n">
        <v>17</v>
      </c>
      <c r="J17" s="8" t="inlineStr">
        <is>
          <t>Tari</t>
        </is>
      </c>
    </row>
    <row r="18">
      <c r="A18" s="8" t="n">
        <v>3</v>
      </c>
      <c r="B18" s="9" t="inlineStr">
        <is>
          <t>AJRA TUILHAM</t>
        </is>
      </c>
      <c r="C18" s="8" t="n">
        <v>72</v>
      </c>
      <c r="D18" s="8" t="n">
        <v>75</v>
      </c>
      <c r="E18" s="8" t="n">
        <v>77</v>
      </c>
      <c r="F18" s="8" t="n">
        <v>75</v>
      </c>
      <c r="G18" s="8" t="n">
        <v>82</v>
      </c>
      <c r="H18" s="8" t="n">
        <v>73</v>
      </c>
      <c r="I18" s="8" t="n">
        <v>31</v>
      </c>
      <c r="J18" s="8" t="inlineStr">
        <is>
          <t>Basket</t>
        </is>
      </c>
    </row>
    <row r="19">
      <c r="A19" s="8" t="n">
        <v>4</v>
      </c>
      <c r="B19" s="9" t="inlineStr">
        <is>
          <t>ANDIKA SAPUTRA</t>
        </is>
      </c>
      <c r="C19" s="8" t="n">
        <v>84</v>
      </c>
      <c r="D19" s="8" t="n">
        <v>85</v>
      </c>
      <c r="E19" s="8" t="n">
        <v>85</v>
      </c>
      <c r="F19" s="8" t="n">
        <v>82</v>
      </c>
      <c r="G19" s="8" t="n">
        <v>84</v>
      </c>
      <c r="H19" s="8" t="n">
        <v>91</v>
      </c>
      <c r="I19" s="8" t="n">
        <v>9</v>
      </c>
      <c r="J19" s="8" t="inlineStr">
        <is>
          <t>Musik</t>
        </is>
      </c>
    </row>
    <row r="20">
      <c r="A20" s="8" t="n">
        <v>5</v>
      </c>
      <c r="B20" s="9" t="inlineStr">
        <is>
          <t>ANNISA PUTRI FAUZIAH</t>
        </is>
      </c>
      <c r="C20" s="8" t="n">
        <v>83</v>
      </c>
      <c r="D20" s="8" t="n">
        <v>81</v>
      </c>
      <c r="E20" s="8" t="n">
        <v>85</v>
      </c>
      <c r="F20" s="8" t="n">
        <v>83</v>
      </c>
      <c r="G20" s="8" t="n">
        <v>83</v>
      </c>
      <c r="H20" s="8" t="n">
        <v>86</v>
      </c>
      <c r="I20" s="8" t="n">
        <v>20</v>
      </c>
      <c r="J20" s="8" t="inlineStr">
        <is>
          <t>Voli</t>
        </is>
      </c>
    </row>
    <row r="21">
      <c r="A21" s="8" t="n">
        <v>6</v>
      </c>
      <c r="B21" s="9" t="inlineStr">
        <is>
          <t>AYUNDA WULANDARI</t>
        </is>
      </c>
      <c r="C21" s="8" t="n">
        <v>83</v>
      </c>
      <c r="D21" s="8" t="n">
        <v>82</v>
      </c>
      <c r="E21" s="8" t="n">
        <v>84</v>
      </c>
      <c r="F21" s="8" t="n">
        <v>85</v>
      </c>
      <c r="G21" s="8" t="n">
        <v>83</v>
      </c>
      <c r="H21" s="8" t="n">
        <v>92</v>
      </c>
      <c r="I21" s="8" t="n">
        <v>16</v>
      </c>
      <c r="J21" s="8" t="inlineStr">
        <is>
          <t>Musik</t>
        </is>
      </c>
    </row>
    <row r="22">
      <c r="A22" s="8" t="n">
        <v>7</v>
      </c>
      <c r="B22" s="9" t="inlineStr">
        <is>
          <t>AZKA APRILLIO AMLI</t>
        </is>
      </c>
      <c r="C22" s="8" t="n">
        <v>83</v>
      </c>
      <c r="D22" s="8" t="n">
        <v>90</v>
      </c>
      <c r="E22" s="8" t="n">
        <v>84</v>
      </c>
      <c r="F22" s="8" t="n">
        <v>88</v>
      </c>
      <c r="G22" s="8" t="n">
        <v>84</v>
      </c>
      <c r="H22" s="8" t="n">
        <v>89</v>
      </c>
      <c r="I22" s="8" t="n">
        <v>12</v>
      </c>
      <c r="J22" s="8" t="inlineStr">
        <is>
          <t>Musik</t>
        </is>
      </c>
    </row>
    <row r="23">
      <c r="A23" s="8" t="n">
        <v>8</v>
      </c>
      <c r="B23" s="9" t="inlineStr">
        <is>
          <t>AZZAHRA</t>
        </is>
      </c>
      <c r="C23" s="8" t="n">
        <v>82</v>
      </c>
      <c r="D23" s="8" t="n">
        <v>76</v>
      </c>
      <c r="E23" s="8" t="n">
        <v>83</v>
      </c>
      <c r="F23" s="8" t="n">
        <v>78</v>
      </c>
      <c r="G23" s="8" t="n">
        <v>85</v>
      </c>
      <c r="H23" s="8" t="n">
        <v>84</v>
      </c>
      <c r="I23" s="8" t="n">
        <v>24</v>
      </c>
      <c r="J23" s="8" t="inlineStr">
        <is>
          <t>Tahfiz</t>
        </is>
      </c>
    </row>
    <row r="24">
      <c r="A24" s="8" t="n">
        <v>9</v>
      </c>
      <c r="B24" s="9" t="inlineStr">
        <is>
          <t>AZZAHRA ADENG PRATIWI</t>
        </is>
      </c>
      <c r="C24" s="8" t="n">
        <v>83</v>
      </c>
      <c r="D24" s="8" t="n">
        <v>81</v>
      </c>
      <c r="E24" s="8" t="n">
        <v>85</v>
      </c>
      <c r="F24" s="8" t="n">
        <v>87</v>
      </c>
      <c r="G24" s="8" t="n">
        <v>83</v>
      </c>
      <c r="H24" s="8" t="n">
        <v>86</v>
      </c>
      <c r="I24" s="8" t="n">
        <v>13</v>
      </c>
      <c r="J24" s="8" t="inlineStr">
        <is>
          <t>Musik</t>
        </is>
      </c>
    </row>
    <row r="25">
      <c r="A25" s="8" t="n">
        <v>10</v>
      </c>
      <c r="B25" s="9" t="inlineStr">
        <is>
          <t>AZZARIA THALITA ARYANDI</t>
        </is>
      </c>
      <c r="C25" s="8" t="n">
        <v>83</v>
      </c>
      <c r="D25" s="8" t="n">
        <v>83</v>
      </c>
      <c r="E25" s="8" t="n">
        <v>84</v>
      </c>
      <c r="F25" s="8" t="n">
        <v>83</v>
      </c>
      <c r="G25" s="8" t="n">
        <v>83</v>
      </c>
      <c r="H25" s="8" t="n">
        <v>84</v>
      </c>
      <c r="I25" s="8" t="n">
        <v>19</v>
      </c>
      <c r="J25" s="8" t="inlineStr">
        <is>
          <t>Tahfiz</t>
        </is>
      </c>
    </row>
    <row r="26">
      <c r="A26" s="8" t="n">
        <v>11</v>
      </c>
      <c r="B26" s="9" t="inlineStr">
        <is>
          <t>DAFFA MUHAMMAD AKBAR</t>
        </is>
      </c>
      <c r="C26" s="8" t="n">
        <v>85</v>
      </c>
      <c r="D26" s="8" t="n">
        <v>90</v>
      </c>
      <c r="E26" s="8" t="n">
        <v>87</v>
      </c>
      <c r="F26" s="8" t="n">
        <v>94</v>
      </c>
      <c r="G26" s="8" t="n">
        <v>84</v>
      </c>
      <c r="H26" s="8" t="n">
        <v>91</v>
      </c>
      <c r="I26" s="8" t="n">
        <v>6</v>
      </c>
      <c r="J26" s="8" t="inlineStr">
        <is>
          <t>Marching Band</t>
        </is>
      </c>
    </row>
    <row r="27">
      <c r="A27" s="8" t="n">
        <v>12</v>
      </c>
      <c r="B27" s="9" t="inlineStr">
        <is>
          <t>EGI ALFAREZI</t>
        </is>
      </c>
      <c r="C27" s="8" t="n">
        <v>82</v>
      </c>
      <c r="D27" s="8" t="n">
        <v>85</v>
      </c>
      <c r="E27" s="8" t="n">
        <v>87</v>
      </c>
      <c r="F27" s="8" t="n">
        <v>87</v>
      </c>
      <c r="G27" s="8" t="n">
        <v>86</v>
      </c>
      <c r="H27" s="8" t="n">
        <v>94</v>
      </c>
      <c r="I27" s="8" t="n">
        <v>10</v>
      </c>
      <c r="J27" s="8" t="inlineStr">
        <is>
          <t>Musik</t>
        </is>
      </c>
    </row>
    <row r="28">
      <c r="A28" s="8" t="n">
        <v>13</v>
      </c>
      <c r="B28" s="9" t="inlineStr">
        <is>
          <t>ERYN DWI AZ ZAHRA</t>
        </is>
      </c>
      <c r="C28" s="8" t="n">
        <v>84</v>
      </c>
      <c r="D28" s="8" t="n">
        <v>94</v>
      </c>
      <c r="E28" s="8" t="n">
        <v>93</v>
      </c>
      <c r="F28" s="8" t="n">
        <v>94</v>
      </c>
      <c r="G28" s="8" t="n">
        <v>86</v>
      </c>
      <c r="H28" s="8" t="n">
        <v>90</v>
      </c>
      <c r="I28" s="8" t="n">
        <v>1</v>
      </c>
      <c r="J28" s="8" t="inlineStr">
        <is>
          <t>Tari</t>
        </is>
      </c>
    </row>
    <row r="29">
      <c r="A29" s="8" t="n">
        <v>14</v>
      </c>
      <c r="B29" s="9" t="inlineStr">
        <is>
          <t>FAJRI</t>
        </is>
      </c>
      <c r="C29" s="8" t="n">
        <v>76</v>
      </c>
      <c r="D29" s="8" t="n">
        <v>78</v>
      </c>
      <c r="E29" s="8" t="n">
        <v>85</v>
      </c>
      <c r="F29" s="8" t="n">
        <v>77</v>
      </c>
      <c r="G29" s="8" t="n">
        <v>85</v>
      </c>
      <c r="H29" s="8" t="n">
        <v>84</v>
      </c>
      <c r="I29" s="8" t="n">
        <v>28</v>
      </c>
      <c r="J29" s="8" t="inlineStr">
        <is>
          <t>Musik</t>
        </is>
      </c>
    </row>
    <row r="30">
      <c r="A30" s="8" t="n">
        <v>15</v>
      </c>
      <c r="B30" s="9" t="inlineStr">
        <is>
          <t>FARIS</t>
        </is>
      </c>
      <c r="C30" s="8" t="n">
        <v>78</v>
      </c>
      <c r="D30" s="8" t="n">
        <v>78</v>
      </c>
      <c r="E30" s="8" t="n">
        <v>80</v>
      </c>
      <c r="F30" s="8" t="n">
        <v>77</v>
      </c>
      <c r="G30" s="8" t="n">
        <v>80</v>
      </c>
      <c r="H30" s="8" t="n">
        <v>80</v>
      </c>
      <c r="I30" s="8" t="n">
        <v>27</v>
      </c>
      <c r="J30" s="8" t="inlineStr">
        <is>
          <t>Basket</t>
        </is>
      </c>
    </row>
    <row r="31">
      <c r="A31" s="8" t="n">
        <v>16</v>
      </c>
      <c r="B31" s="9" t="inlineStr">
        <is>
          <t>FATHIMAH NABILA</t>
        </is>
      </c>
      <c r="C31" s="8" t="n">
        <v>83</v>
      </c>
      <c r="D31" s="8" t="n">
        <v>86</v>
      </c>
      <c r="E31" s="8" t="n">
        <v>90</v>
      </c>
      <c r="F31" s="8" t="n">
        <v>96</v>
      </c>
      <c r="G31" s="8" t="n">
        <v>86</v>
      </c>
      <c r="H31" s="8" t="n">
        <v>87</v>
      </c>
      <c r="I31" s="8" t="n">
        <v>4</v>
      </c>
      <c r="J31" s="8" t="inlineStr">
        <is>
          <t>Tahfiz</t>
        </is>
      </c>
    </row>
    <row r="32">
      <c r="A32" s="8" t="n">
        <v>17</v>
      </c>
      <c r="B32" s="9" t="inlineStr">
        <is>
          <t>FEBI ANISA PUTRI</t>
        </is>
      </c>
      <c r="C32" s="8" t="n">
        <v>83</v>
      </c>
      <c r="D32" s="8" t="n">
        <v>80</v>
      </c>
      <c r="E32" s="8" t="n">
        <v>86</v>
      </c>
      <c r="F32" s="8" t="n">
        <v>83</v>
      </c>
      <c r="G32" s="8" t="n">
        <v>85</v>
      </c>
      <c r="H32" s="8" t="n">
        <v>91</v>
      </c>
      <c r="I32" s="8" t="n">
        <v>18</v>
      </c>
      <c r="J32" s="8" t="inlineStr">
        <is>
          <t>Musik</t>
        </is>
      </c>
    </row>
    <row r="33">
      <c r="A33" s="8" t="n">
        <v>18</v>
      </c>
      <c r="B33" s="9" t="inlineStr">
        <is>
          <t>FUTIHAT RIZKIYAH FADHLIL</t>
        </is>
      </c>
      <c r="C33" s="8" t="n">
        <v>84</v>
      </c>
      <c r="D33" s="8" t="n">
        <v>85</v>
      </c>
      <c r="E33" s="8" t="n">
        <v>90</v>
      </c>
      <c r="F33" s="8" t="n">
        <v>88</v>
      </c>
      <c r="G33" s="8" t="n">
        <v>90</v>
      </c>
      <c r="H33" s="8" t="n">
        <v>93</v>
      </c>
      <c r="I33" s="8" t="n">
        <v>3</v>
      </c>
      <c r="J33" s="8" t="inlineStr">
        <is>
          <t>Basket</t>
        </is>
      </c>
    </row>
    <row r="34">
      <c r="A34" s="8" t="n">
        <v>19</v>
      </c>
      <c r="B34" s="9" t="inlineStr">
        <is>
          <t>GIBRAN KHALFANI ARDIANSYAH HAR</t>
        </is>
      </c>
      <c r="C34" s="8" t="n">
        <v>83</v>
      </c>
      <c r="D34" s="8" t="n">
        <v>83</v>
      </c>
      <c r="E34" s="8" t="n">
        <v>89</v>
      </c>
      <c r="F34" s="8" t="n">
        <v>95</v>
      </c>
      <c r="G34" s="8" t="n">
        <v>82</v>
      </c>
      <c r="H34" s="8" t="n">
        <v>91</v>
      </c>
      <c r="I34" s="8" t="n">
        <v>15</v>
      </c>
      <c r="J34" s="8" t="inlineStr">
        <is>
          <t>Musik</t>
        </is>
      </c>
    </row>
    <row r="35">
      <c r="A35" s="8" t="n">
        <v>20</v>
      </c>
      <c r="B35" s="9" t="inlineStr">
        <is>
          <t>HAIKAL HUSNAYAN ADNAN</t>
        </is>
      </c>
      <c r="C35" s="8" t="n">
        <v>83</v>
      </c>
      <c r="D35" s="8" t="n">
        <v>82</v>
      </c>
      <c r="E35" s="8" t="n">
        <v>84</v>
      </c>
      <c r="F35" s="8" t="n">
        <v>78</v>
      </c>
      <c r="G35" s="8" t="n">
        <v>83</v>
      </c>
      <c r="H35" s="8" t="n">
        <v>95</v>
      </c>
      <c r="I35" s="8" t="n">
        <v>14</v>
      </c>
      <c r="J35" s="8" t="inlineStr">
        <is>
          <t>Marching Band</t>
        </is>
      </c>
    </row>
    <row r="36">
      <c r="A36" s="8" t="n">
        <v>21</v>
      </c>
      <c r="B36" s="9" t="inlineStr">
        <is>
          <t>INDRI FEBRIA DINATA</t>
        </is>
      </c>
      <c r="C36" s="8" t="n">
        <v>83</v>
      </c>
      <c r="D36" s="8" t="n">
        <v>82</v>
      </c>
      <c r="E36" s="8" t="n">
        <v>88</v>
      </c>
      <c r="F36" s="8" t="n">
        <v>91</v>
      </c>
      <c r="G36" s="8" t="n">
        <v>83</v>
      </c>
      <c r="H36" s="8" t="n">
        <v>95</v>
      </c>
      <c r="I36" s="8" t="n">
        <v>7</v>
      </c>
      <c r="J36" s="8" t="inlineStr">
        <is>
          <t>Musik</t>
        </is>
      </c>
    </row>
    <row r="37">
      <c r="A37" s="8" t="n">
        <v>22</v>
      </c>
      <c r="B37" s="9" t="inlineStr">
        <is>
          <t>KIARA SALSABILLA</t>
        </is>
      </c>
      <c r="C37" s="8" t="n">
        <v>83</v>
      </c>
      <c r="D37" s="8" t="n">
        <v>77</v>
      </c>
      <c r="E37" s="8" t="n">
        <v>83</v>
      </c>
      <c r="F37" s="8" t="n">
        <v>80</v>
      </c>
      <c r="G37" s="8" t="n">
        <v>83</v>
      </c>
      <c r="H37" s="8" t="n">
        <v>85</v>
      </c>
      <c r="I37" s="8" t="n">
        <v>25</v>
      </c>
      <c r="J37" s="8" t="inlineStr">
        <is>
          <t>Voli</t>
        </is>
      </c>
    </row>
    <row r="38">
      <c r="A38" s="8" t="n">
        <v>23</v>
      </c>
      <c r="B38" s="9" t="inlineStr">
        <is>
          <t>MARTA APRIL ANANDA</t>
        </is>
      </c>
      <c r="C38" s="8" t="n">
        <v>83</v>
      </c>
      <c r="D38" s="8" t="n">
        <v>75</v>
      </c>
      <c r="E38" s="8" t="n">
        <v>77</v>
      </c>
      <c r="F38" s="8" t="n">
        <v>78</v>
      </c>
      <c r="G38" s="8" t="n">
        <v>86</v>
      </c>
      <c r="H38" s="8" t="n">
        <v>76</v>
      </c>
      <c r="I38" s="8" t="n">
        <v>29</v>
      </c>
      <c r="J38" s="8" t="inlineStr">
        <is>
          <t>Musik</t>
        </is>
      </c>
    </row>
    <row r="39">
      <c r="A39" s="8" t="n">
        <v>24</v>
      </c>
      <c r="B39" s="9" t="inlineStr">
        <is>
          <t>MUHAMMAD AQIL MUQSITH</t>
        </is>
      </c>
      <c r="C39" s="8" t="n">
        <v>81</v>
      </c>
      <c r="D39" s="8" t="n">
        <v>81</v>
      </c>
      <c r="E39" s="8" t="n">
        <v>85</v>
      </c>
      <c r="F39" s="8" t="n">
        <v>78</v>
      </c>
      <c r="G39" s="8" t="n">
        <v>86</v>
      </c>
      <c r="H39" s="8" t="n">
        <v>77</v>
      </c>
      <c r="I39" s="8" t="n">
        <v>26</v>
      </c>
      <c r="J39" s="8" t="inlineStr">
        <is>
          <t>Marching Band</t>
        </is>
      </c>
    </row>
    <row r="40">
      <c r="A40" s="8" t="n">
        <v>25</v>
      </c>
      <c r="B40" s="9" t="inlineStr">
        <is>
          <t>MUHAMMAD IQBAL</t>
        </is>
      </c>
      <c r="C40" s="8" t="n">
        <v>79</v>
      </c>
      <c r="D40" s="8" t="n">
        <v>77</v>
      </c>
      <c r="E40" s="8" t="n">
        <v>86</v>
      </c>
      <c r="F40" s="8" t="n">
        <v>81</v>
      </c>
      <c r="G40" s="8" t="n">
        <v>86</v>
      </c>
      <c r="H40" s="8" t="n">
        <v>77</v>
      </c>
      <c r="I40" s="8" t="n">
        <v>22</v>
      </c>
      <c r="J40" s="8" t="inlineStr">
        <is>
          <t>Musik</t>
        </is>
      </c>
    </row>
    <row r="41">
      <c r="A41" s="8" t="n">
        <v>26</v>
      </c>
      <c r="B41" s="9" t="inlineStr">
        <is>
          <t>MUTIA RAMADHANI</t>
        </is>
      </c>
      <c r="C41" s="8" t="n">
        <v>83</v>
      </c>
      <c r="D41" s="8" t="n">
        <v>81</v>
      </c>
      <c r="E41" s="8" t="n">
        <v>84</v>
      </c>
      <c r="F41" s="8" t="n">
        <v>79</v>
      </c>
      <c r="G41" s="8" t="n">
        <v>83</v>
      </c>
      <c r="H41" s="8" t="n">
        <v>83</v>
      </c>
      <c r="I41" s="8" t="n">
        <v>21</v>
      </c>
      <c r="J41" s="8" t="inlineStr">
        <is>
          <t>Voli</t>
        </is>
      </c>
    </row>
    <row r="42">
      <c r="A42" s="8" t="n">
        <v>27</v>
      </c>
      <c r="B42" s="9" t="inlineStr">
        <is>
          <t>NADA FAJRIA SAL SABILA</t>
        </is>
      </c>
      <c r="C42" s="8" t="n">
        <v>83</v>
      </c>
      <c r="D42" s="8" t="n">
        <v>86</v>
      </c>
      <c r="E42" s="8" t="n">
        <v>88</v>
      </c>
      <c r="F42" s="8" t="n">
        <v>87</v>
      </c>
      <c r="G42" s="8" t="n">
        <v>84</v>
      </c>
      <c r="H42" s="8" t="n">
        <v>85</v>
      </c>
      <c r="I42" s="8" t="n">
        <v>11</v>
      </c>
      <c r="J42" s="8" t="inlineStr">
        <is>
          <t>Paskibraka</t>
        </is>
      </c>
    </row>
    <row r="43">
      <c r="A43" s="8" t="n">
        <v>28</v>
      </c>
      <c r="B43" s="9" t="inlineStr">
        <is>
          <t>NAFADIL</t>
        </is>
      </c>
      <c r="C43" s="8" t="n">
        <v>75</v>
      </c>
      <c r="D43" s="8" t="n">
        <v>73</v>
      </c>
      <c r="E43" s="8" t="n">
        <v>72</v>
      </c>
      <c r="F43" s="8" t="n">
        <v>75</v>
      </c>
      <c r="G43" s="8" t="n">
        <v>86</v>
      </c>
      <c r="H43" s="8" t="n">
        <v>72</v>
      </c>
      <c r="I43" s="8" t="n">
        <v>30</v>
      </c>
      <c r="J43" s="8" t="inlineStr">
        <is>
          <t>Sepakbola</t>
        </is>
      </c>
    </row>
    <row r="44">
      <c r="A44" s="8" t="n">
        <v>29</v>
      </c>
      <c r="B44" s="9" t="inlineStr">
        <is>
          <t>REZA MUHAMMAD VELEFI</t>
        </is>
      </c>
      <c r="C44" s="8" t="n">
        <v>73</v>
      </c>
      <c r="D44" s="8" t="n">
        <v>76</v>
      </c>
      <c r="E44" s="8" t="n">
        <v>72</v>
      </c>
      <c r="F44" s="8" t="n">
        <v>75</v>
      </c>
      <c r="G44" s="8" t="n">
        <v>86</v>
      </c>
      <c r="H44" s="8" t="n">
        <v>72</v>
      </c>
      <c r="I44" s="8" t="n">
        <v>32</v>
      </c>
      <c r="J44" s="8" t="inlineStr">
        <is>
          <t>Marching Band</t>
        </is>
      </c>
    </row>
    <row r="45">
      <c r="A45" s="8" t="n">
        <v>30</v>
      </c>
      <c r="B45" s="9" t="inlineStr">
        <is>
          <t>SALSHA AMANDA PUTRI</t>
        </is>
      </c>
      <c r="C45" s="8" t="n">
        <v>81</v>
      </c>
      <c r="D45" s="8" t="n">
        <v>78</v>
      </c>
      <c r="E45" s="8" t="n">
        <v>81</v>
      </c>
      <c r="F45" s="8" t="n">
        <v>78</v>
      </c>
      <c r="G45" s="8" t="n">
        <v>86</v>
      </c>
      <c r="H45" s="8" t="n">
        <v>80</v>
      </c>
      <c r="I45" s="8" t="n">
        <v>23</v>
      </c>
      <c r="J45" s="8" t="inlineStr">
        <is>
          <t>Musik</t>
        </is>
      </c>
    </row>
    <row r="46">
      <c r="A46" s="8" t="n">
        <v>31</v>
      </c>
      <c r="B46" s="9" t="inlineStr">
        <is>
          <t>ZACKY APRILIO</t>
        </is>
      </c>
      <c r="C46" s="8" t="n">
        <v>83</v>
      </c>
      <c r="D46" s="8" t="n">
        <v>91</v>
      </c>
      <c r="E46" s="8" t="n">
        <v>87</v>
      </c>
      <c r="F46" s="8" t="n">
        <v>91</v>
      </c>
      <c r="G46" s="8" t="n">
        <v>86</v>
      </c>
      <c r="H46" s="8" t="n">
        <v>91</v>
      </c>
      <c r="I46" s="8" t="n">
        <v>8</v>
      </c>
      <c r="J46" s="8" t="inlineStr">
        <is>
          <t>Marching Band</t>
        </is>
      </c>
    </row>
    <row r="47">
      <c r="A47" s="8" t="n">
        <v>32</v>
      </c>
      <c r="B47" s="9" t="inlineStr">
        <is>
          <t>ZAHIRA AZALIA QISYA</t>
        </is>
      </c>
      <c r="C47" s="8" t="n">
        <v>83</v>
      </c>
      <c r="D47" s="8" t="n">
        <v>85</v>
      </c>
      <c r="E47" s="8" t="n">
        <v>84</v>
      </c>
      <c r="F47" s="8" t="n">
        <v>87</v>
      </c>
      <c r="G47" s="8" t="n">
        <v>90</v>
      </c>
      <c r="H47" s="8" t="n">
        <v>88</v>
      </c>
      <c r="I47" s="8" t="n">
        <v>5</v>
      </c>
      <c r="J47" s="8" t="inlineStr">
        <is>
          <t>Voli</t>
        </is>
      </c>
    </row>
  </sheetData>
  <mergeCells count="2">
    <mergeCell ref="A4:D4"/>
    <mergeCell ref="A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37" customWidth="1" min="9" max="9"/>
    <col width="37" customWidth="1" min="10" max="10"/>
    <col width="37" customWidth="1" min="11" max="11"/>
    <col width="37" customWidth="1" min="12" max="12"/>
    <col width="38" customWidth="1" min="13" max="13"/>
    <col width="38" customWidth="1" min="14" max="14"/>
    <col width="16" customWidth="1" min="15" max="15"/>
    <col width="15" customWidth="1" min="16" max="16"/>
    <col width="26" customWidth="1" min="17" max="17"/>
    <col width="26" customWidth="1" min="18" max="18"/>
  </cols>
  <sheetData>
    <row r="1">
      <c r="A1" s="1" t="inlineStr">
        <is>
          <t>LANGKAH 1: PERHITUNGAN JARAK EUCLIDEAN</t>
        </is>
      </c>
    </row>
    <row r="2">
      <c r="A2" s="2" t="inlineStr">
        <is>
          <t>Rumus: d(x,y) = √[ ∑ (X_i - Y_i)² ] untuk atribut MTK, IPA, IPS, BINDO, PJOK, SBP</t>
        </is>
      </c>
    </row>
    <row r="3"/>
    <row r="4">
      <c r="A4" s="7" t="inlineStr">
        <is>
          <t>No</t>
        </is>
      </c>
      <c r="B4" s="7" t="inlineStr">
        <is>
          <t>Nama Siswa</t>
        </is>
      </c>
      <c r="C4" s="10" t="inlineStr">
        <is>
          <t>Nilai Data Training (Y)</t>
        </is>
      </c>
      <c r="I4" s="10" t="inlineStr">
        <is>
          <t>Selisih Kuadrat Atribut (Data Uji X - Data Training Y)²</t>
        </is>
      </c>
      <c r="O4" s="7" t="inlineStr">
        <is>
          <t>∑ (Δ²)</t>
        </is>
      </c>
      <c r="P4" s="7" t="inlineStr">
        <is>
          <t>Jarak d(x,y)</t>
        </is>
      </c>
      <c r="Q4" s="7" t="inlineStr">
        <is>
          <t>Rank</t>
        </is>
      </c>
      <c r="R4" s="7" t="inlineStr">
        <is>
          <t>Ekskul</t>
        </is>
      </c>
    </row>
    <row r="5">
      <c r="A5" s="11" t="n"/>
      <c r="B5" s="11" t="n"/>
      <c r="C5" s="7" t="inlineStr">
        <is>
          <t>MTK</t>
        </is>
      </c>
      <c r="D5" s="7" t="inlineStr">
        <is>
          <t>IPA</t>
        </is>
      </c>
      <c r="E5" s="7" t="inlineStr">
        <is>
          <t>IPS</t>
        </is>
      </c>
      <c r="F5" s="7" t="inlineStr">
        <is>
          <t>BINDO</t>
        </is>
      </c>
      <c r="G5" s="7" t="inlineStr">
        <is>
          <t>PJOK</t>
        </is>
      </c>
      <c r="H5" s="7" t="inlineStr">
        <is>
          <t>SBP</t>
        </is>
      </c>
      <c r="I5" s="7" t="inlineStr">
        <is>
          <t>Δ² MTK</t>
        </is>
      </c>
      <c r="J5" s="7" t="inlineStr">
        <is>
          <t>Δ² IPA</t>
        </is>
      </c>
      <c r="K5" s="7" t="inlineStr">
        <is>
          <t>Δ² IPS</t>
        </is>
      </c>
      <c r="L5" s="7" t="inlineStr">
        <is>
          <t>Δ² BINDO</t>
        </is>
      </c>
      <c r="M5" s="7" t="inlineStr">
        <is>
          <t>Δ² PJOK</t>
        </is>
      </c>
      <c r="N5" s="7" t="inlineStr">
        <is>
          <t>Δ² SBP</t>
        </is>
      </c>
      <c r="O5" s="11" t="n"/>
      <c r="P5" s="11" t="n"/>
      <c r="Q5" s="11" t="n"/>
      <c r="R5" s="11" t="n"/>
    </row>
    <row r="6">
      <c r="A6" s="8" t="n">
        <v>1</v>
      </c>
      <c r="B6" s="9">
        <f>'Data &amp; Parameter'!B16</f>
        <v/>
      </c>
      <c r="C6" s="8">
        <f>'Data &amp; Parameter'!C16</f>
        <v/>
      </c>
      <c r="D6" s="8">
        <f>'Data &amp; Parameter'!D16</f>
        <v/>
      </c>
      <c r="E6" s="8">
        <f>'Data &amp; Parameter'!E16</f>
        <v/>
      </c>
      <c r="F6" s="8">
        <f>'Data &amp; Parameter'!F16</f>
        <v/>
      </c>
      <c r="G6" s="8">
        <f>'Data &amp; Parameter'!G16</f>
        <v/>
      </c>
      <c r="H6" s="8">
        <f>'Data &amp; Parameter'!H16</f>
        <v/>
      </c>
      <c r="I6" s="8">
        <f>('Data &amp; Parameter'!$B$6 - C6)^2</f>
        <v/>
      </c>
      <c r="J6" s="8">
        <f>('Data &amp; Parameter'!$B$7 - D6)^2</f>
        <v/>
      </c>
      <c r="K6" s="8">
        <f>('Data &amp; Parameter'!$B$8 - E6)^2</f>
        <v/>
      </c>
      <c r="L6" s="8">
        <f>('Data &amp; Parameter'!$B$9 - F6)^2</f>
        <v/>
      </c>
      <c r="M6" s="8">
        <f>('Data &amp; Parameter'!$B$10 - G6)^2</f>
        <v/>
      </c>
      <c r="N6" s="8">
        <f>('Data &amp; Parameter'!$B$11 - H6)^2</f>
        <v/>
      </c>
      <c r="O6" s="12">
        <f>SUM(I6:N6)</f>
        <v/>
      </c>
      <c r="P6" s="13">
        <f>SQRT(O6)</f>
        <v/>
      </c>
      <c r="Q6" s="8">
        <f>'Data &amp; Parameter'!I16</f>
        <v/>
      </c>
      <c r="R6" s="8">
        <f>'Data &amp; Parameter'!J16</f>
        <v/>
      </c>
    </row>
    <row r="7">
      <c r="A7" s="8" t="n">
        <v>2</v>
      </c>
      <c r="B7" s="9">
        <f>'Data &amp; Parameter'!B17</f>
        <v/>
      </c>
      <c r="C7" s="8">
        <f>'Data &amp; Parameter'!C17</f>
        <v/>
      </c>
      <c r="D7" s="8">
        <f>'Data &amp; Parameter'!D17</f>
        <v/>
      </c>
      <c r="E7" s="8">
        <f>'Data &amp; Parameter'!E17</f>
        <v/>
      </c>
      <c r="F7" s="8">
        <f>'Data &amp; Parameter'!F17</f>
        <v/>
      </c>
      <c r="G7" s="8">
        <f>'Data &amp; Parameter'!G17</f>
        <v/>
      </c>
      <c r="H7" s="8">
        <f>'Data &amp; Parameter'!H17</f>
        <v/>
      </c>
      <c r="I7" s="8">
        <f>('Data &amp; Parameter'!$B$6 - C7)^2</f>
        <v/>
      </c>
      <c r="J7" s="8">
        <f>('Data &amp; Parameter'!$B$7 - D7)^2</f>
        <v/>
      </c>
      <c r="K7" s="8">
        <f>('Data &amp; Parameter'!$B$8 - E7)^2</f>
        <v/>
      </c>
      <c r="L7" s="8">
        <f>('Data &amp; Parameter'!$B$9 - F7)^2</f>
        <v/>
      </c>
      <c r="M7" s="8">
        <f>('Data &amp; Parameter'!$B$10 - G7)^2</f>
        <v/>
      </c>
      <c r="N7" s="8">
        <f>('Data &amp; Parameter'!$B$11 - H7)^2</f>
        <v/>
      </c>
      <c r="O7" s="12">
        <f>SUM(I7:N7)</f>
        <v/>
      </c>
      <c r="P7" s="13">
        <f>SQRT(O7)</f>
        <v/>
      </c>
      <c r="Q7" s="8">
        <f>'Data &amp; Parameter'!I17</f>
        <v/>
      </c>
      <c r="R7" s="8">
        <f>'Data &amp; Parameter'!J17</f>
        <v/>
      </c>
    </row>
    <row r="8">
      <c r="A8" s="8" t="n">
        <v>3</v>
      </c>
      <c r="B8" s="9">
        <f>'Data &amp; Parameter'!B18</f>
        <v/>
      </c>
      <c r="C8" s="8">
        <f>'Data &amp; Parameter'!C18</f>
        <v/>
      </c>
      <c r="D8" s="8">
        <f>'Data &amp; Parameter'!D18</f>
        <v/>
      </c>
      <c r="E8" s="8">
        <f>'Data &amp; Parameter'!E18</f>
        <v/>
      </c>
      <c r="F8" s="8">
        <f>'Data &amp; Parameter'!F18</f>
        <v/>
      </c>
      <c r="G8" s="8">
        <f>'Data &amp; Parameter'!G18</f>
        <v/>
      </c>
      <c r="H8" s="8">
        <f>'Data &amp; Parameter'!H18</f>
        <v/>
      </c>
      <c r="I8" s="8">
        <f>('Data &amp; Parameter'!$B$6 - C8)^2</f>
        <v/>
      </c>
      <c r="J8" s="8">
        <f>('Data &amp; Parameter'!$B$7 - D8)^2</f>
        <v/>
      </c>
      <c r="K8" s="8">
        <f>('Data &amp; Parameter'!$B$8 - E8)^2</f>
        <v/>
      </c>
      <c r="L8" s="8">
        <f>('Data &amp; Parameter'!$B$9 - F8)^2</f>
        <v/>
      </c>
      <c r="M8" s="8">
        <f>('Data &amp; Parameter'!$B$10 - G8)^2</f>
        <v/>
      </c>
      <c r="N8" s="8">
        <f>('Data &amp; Parameter'!$B$11 - H8)^2</f>
        <v/>
      </c>
      <c r="O8" s="12">
        <f>SUM(I8:N8)</f>
        <v/>
      </c>
      <c r="P8" s="13">
        <f>SQRT(O8)</f>
        <v/>
      </c>
      <c r="Q8" s="8">
        <f>'Data &amp; Parameter'!I18</f>
        <v/>
      </c>
      <c r="R8" s="8">
        <f>'Data &amp; Parameter'!J18</f>
        <v/>
      </c>
    </row>
    <row r="9">
      <c r="A9" s="8" t="n">
        <v>4</v>
      </c>
      <c r="B9" s="9">
        <f>'Data &amp; Parameter'!B19</f>
        <v/>
      </c>
      <c r="C9" s="8">
        <f>'Data &amp; Parameter'!C19</f>
        <v/>
      </c>
      <c r="D9" s="8">
        <f>'Data &amp; Parameter'!D19</f>
        <v/>
      </c>
      <c r="E9" s="8">
        <f>'Data &amp; Parameter'!E19</f>
        <v/>
      </c>
      <c r="F9" s="8">
        <f>'Data &amp; Parameter'!F19</f>
        <v/>
      </c>
      <c r="G9" s="8">
        <f>'Data &amp; Parameter'!G19</f>
        <v/>
      </c>
      <c r="H9" s="8">
        <f>'Data &amp; Parameter'!H19</f>
        <v/>
      </c>
      <c r="I9" s="8">
        <f>('Data &amp; Parameter'!$B$6 - C9)^2</f>
        <v/>
      </c>
      <c r="J9" s="8">
        <f>('Data &amp; Parameter'!$B$7 - D9)^2</f>
        <v/>
      </c>
      <c r="K9" s="8">
        <f>('Data &amp; Parameter'!$B$8 - E9)^2</f>
        <v/>
      </c>
      <c r="L9" s="8">
        <f>('Data &amp; Parameter'!$B$9 - F9)^2</f>
        <v/>
      </c>
      <c r="M9" s="8">
        <f>('Data &amp; Parameter'!$B$10 - G9)^2</f>
        <v/>
      </c>
      <c r="N9" s="8">
        <f>('Data &amp; Parameter'!$B$11 - H9)^2</f>
        <v/>
      </c>
      <c r="O9" s="12">
        <f>SUM(I9:N9)</f>
        <v/>
      </c>
      <c r="P9" s="13">
        <f>SQRT(O9)</f>
        <v/>
      </c>
      <c r="Q9" s="8">
        <f>'Data &amp; Parameter'!I19</f>
        <v/>
      </c>
      <c r="R9" s="8">
        <f>'Data &amp; Parameter'!J19</f>
        <v/>
      </c>
    </row>
    <row r="10">
      <c r="A10" s="8" t="n">
        <v>5</v>
      </c>
      <c r="B10" s="9">
        <f>'Data &amp; Parameter'!B20</f>
        <v/>
      </c>
      <c r="C10" s="8">
        <f>'Data &amp; Parameter'!C20</f>
        <v/>
      </c>
      <c r="D10" s="8">
        <f>'Data &amp; Parameter'!D20</f>
        <v/>
      </c>
      <c r="E10" s="8">
        <f>'Data &amp; Parameter'!E20</f>
        <v/>
      </c>
      <c r="F10" s="8">
        <f>'Data &amp; Parameter'!F20</f>
        <v/>
      </c>
      <c r="G10" s="8">
        <f>'Data &amp; Parameter'!G20</f>
        <v/>
      </c>
      <c r="H10" s="8">
        <f>'Data &amp; Parameter'!H20</f>
        <v/>
      </c>
      <c r="I10" s="8">
        <f>('Data &amp; Parameter'!$B$6 - C10)^2</f>
        <v/>
      </c>
      <c r="J10" s="8">
        <f>('Data &amp; Parameter'!$B$7 - D10)^2</f>
        <v/>
      </c>
      <c r="K10" s="8">
        <f>('Data &amp; Parameter'!$B$8 - E10)^2</f>
        <v/>
      </c>
      <c r="L10" s="8">
        <f>('Data &amp; Parameter'!$B$9 - F10)^2</f>
        <v/>
      </c>
      <c r="M10" s="8">
        <f>('Data &amp; Parameter'!$B$10 - G10)^2</f>
        <v/>
      </c>
      <c r="N10" s="8">
        <f>('Data &amp; Parameter'!$B$11 - H10)^2</f>
        <v/>
      </c>
      <c r="O10" s="12">
        <f>SUM(I10:N10)</f>
        <v/>
      </c>
      <c r="P10" s="13">
        <f>SQRT(O10)</f>
        <v/>
      </c>
      <c r="Q10" s="8">
        <f>'Data &amp; Parameter'!I20</f>
        <v/>
      </c>
      <c r="R10" s="8">
        <f>'Data &amp; Parameter'!J20</f>
        <v/>
      </c>
    </row>
    <row r="11">
      <c r="A11" s="8" t="n">
        <v>6</v>
      </c>
      <c r="B11" s="9">
        <f>'Data &amp; Parameter'!B21</f>
        <v/>
      </c>
      <c r="C11" s="8">
        <f>'Data &amp; Parameter'!C21</f>
        <v/>
      </c>
      <c r="D11" s="8">
        <f>'Data &amp; Parameter'!D21</f>
        <v/>
      </c>
      <c r="E11" s="8">
        <f>'Data &amp; Parameter'!E21</f>
        <v/>
      </c>
      <c r="F11" s="8">
        <f>'Data &amp; Parameter'!F21</f>
        <v/>
      </c>
      <c r="G11" s="8">
        <f>'Data &amp; Parameter'!G21</f>
        <v/>
      </c>
      <c r="H11" s="8">
        <f>'Data &amp; Parameter'!H21</f>
        <v/>
      </c>
      <c r="I11" s="8">
        <f>('Data &amp; Parameter'!$B$6 - C11)^2</f>
        <v/>
      </c>
      <c r="J11" s="8">
        <f>('Data &amp; Parameter'!$B$7 - D11)^2</f>
        <v/>
      </c>
      <c r="K11" s="8">
        <f>('Data &amp; Parameter'!$B$8 - E11)^2</f>
        <v/>
      </c>
      <c r="L11" s="8">
        <f>('Data &amp; Parameter'!$B$9 - F11)^2</f>
        <v/>
      </c>
      <c r="M11" s="8">
        <f>('Data &amp; Parameter'!$B$10 - G11)^2</f>
        <v/>
      </c>
      <c r="N11" s="8">
        <f>('Data &amp; Parameter'!$B$11 - H11)^2</f>
        <v/>
      </c>
      <c r="O11" s="12">
        <f>SUM(I11:N11)</f>
        <v/>
      </c>
      <c r="P11" s="13">
        <f>SQRT(O11)</f>
        <v/>
      </c>
      <c r="Q11" s="8">
        <f>'Data &amp; Parameter'!I21</f>
        <v/>
      </c>
      <c r="R11" s="8">
        <f>'Data &amp; Parameter'!J21</f>
        <v/>
      </c>
    </row>
    <row r="12">
      <c r="A12" s="8" t="n">
        <v>7</v>
      </c>
      <c r="B12" s="9">
        <f>'Data &amp; Parameter'!B22</f>
        <v/>
      </c>
      <c r="C12" s="8">
        <f>'Data &amp; Parameter'!C22</f>
        <v/>
      </c>
      <c r="D12" s="8">
        <f>'Data &amp; Parameter'!D22</f>
        <v/>
      </c>
      <c r="E12" s="8">
        <f>'Data &amp; Parameter'!E22</f>
        <v/>
      </c>
      <c r="F12" s="8">
        <f>'Data &amp; Parameter'!F22</f>
        <v/>
      </c>
      <c r="G12" s="8">
        <f>'Data &amp; Parameter'!G22</f>
        <v/>
      </c>
      <c r="H12" s="8">
        <f>'Data &amp; Parameter'!H22</f>
        <v/>
      </c>
      <c r="I12" s="8">
        <f>('Data &amp; Parameter'!$B$6 - C12)^2</f>
        <v/>
      </c>
      <c r="J12" s="8">
        <f>('Data &amp; Parameter'!$B$7 - D12)^2</f>
        <v/>
      </c>
      <c r="K12" s="8">
        <f>('Data &amp; Parameter'!$B$8 - E12)^2</f>
        <v/>
      </c>
      <c r="L12" s="8">
        <f>('Data &amp; Parameter'!$B$9 - F12)^2</f>
        <v/>
      </c>
      <c r="M12" s="8">
        <f>('Data &amp; Parameter'!$B$10 - G12)^2</f>
        <v/>
      </c>
      <c r="N12" s="8">
        <f>('Data &amp; Parameter'!$B$11 - H12)^2</f>
        <v/>
      </c>
      <c r="O12" s="12">
        <f>SUM(I12:N12)</f>
        <v/>
      </c>
      <c r="P12" s="13">
        <f>SQRT(O12)</f>
        <v/>
      </c>
      <c r="Q12" s="8">
        <f>'Data &amp; Parameter'!I22</f>
        <v/>
      </c>
      <c r="R12" s="8">
        <f>'Data &amp; Parameter'!J22</f>
        <v/>
      </c>
    </row>
    <row r="13">
      <c r="A13" s="8" t="n">
        <v>8</v>
      </c>
      <c r="B13" s="9">
        <f>'Data &amp; Parameter'!B23</f>
        <v/>
      </c>
      <c r="C13" s="8">
        <f>'Data &amp; Parameter'!C23</f>
        <v/>
      </c>
      <c r="D13" s="8">
        <f>'Data &amp; Parameter'!D23</f>
        <v/>
      </c>
      <c r="E13" s="8">
        <f>'Data &amp; Parameter'!E23</f>
        <v/>
      </c>
      <c r="F13" s="8">
        <f>'Data &amp; Parameter'!F23</f>
        <v/>
      </c>
      <c r="G13" s="8">
        <f>'Data &amp; Parameter'!G23</f>
        <v/>
      </c>
      <c r="H13" s="8">
        <f>'Data &amp; Parameter'!H23</f>
        <v/>
      </c>
      <c r="I13" s="8">
        <f>('Data &amp; Parameter'!$B$6 - C13)^2</f>
        <v/>
      </c>
      <c r="J13" s="8">
        <f>('Data &amp; Parameter'!$B$7 - D13)^2</f>
        <v/>
      </c>
      <c r="K13" s="8">
        <f>('Data &amp; Parameter'!$B$8 - E13)^2</f>
        <v/>
      </c>
      <c r="L13" s="8">
        <f>('Data &amp; Parameter'!$B$9 - F13)^2</f>
        <v/>
      </c>
      <c r="M13" s="8">
        <f>('Data &amp; Parameter'!$B$10 - G13)^2</f>
        <v/>
      </c>
      <c r="N13" s="8">
        <f>('Data &amp; Parameter'!$B$11 - H13)^2</f>
        <v/>
      </c>
      <c r="O13" s="12">
        <f>SUM(I13:N13)</f>
        <v/>
      </c>
      <c r="P13" s="13">
        <f>SQRT(O13)</f>
        <v/>
      </c>
      <c r="Q13" s="8">
        <f>'Data &amp; Parameter'!I23</f>
        <v/>
      </c>
      <c r="R13" s="8">
        <f>'Data &amp; Parameter'!J23</f>
        <v/>
      </c>
    </row>
    <row r="14">
      <c r="A14" s="8" t="n">
        <v>9</v>
      </c>
      <c r="B14" s="9">
        <f>'Data &amp; Parameter'!B24</f>
        <v/>
      </c>
      <c r="C14" s="8">
        <f>'Data &amp; Parameter'!C24</f>
        <v/>
      </c>
      <c r="D14" s="8">
        <f>'Data &amp; Parameter'!D24</f>
        <v/>
      </c>
      <c r="E14" s="8">
        <f>'Data &amp; Parameter'!E24</f>
        <v/>
      </c>
      <c r="F14" s="8">
        <f>'Data &amp; Parameter'!F24</f>
        <v/>
      </c>
      <c r="G14" s="8">
        <f>'Data &amp; Parameter'!G24</f>
        <v/>
      </c>
      <c r="H14" s="8">
        <f>'Data &amp; Parameter'!H24</f>
        <v/>
      </c>
      <c r="I14" s="8">
        <f>('Data &amp; Parameter'!$B$6 - C14)^2</f>
        <v/>
      </c>
      <c r="J14" s="8">
        <f>('Data &amp; Parameter'!$B$7 - D14)^2</f>
        <v/>
      </c>
      <c r="K14" s="8">
        <f>('Data &amp; Parameter'!$B$8 - E14)^2</f>
        <v/>
      </c>
      <c r="L14" s="8">
        <f>('Data &amp; Parameter'!$B$9 - F14)^2</f>
        <v/>
      </c>
      <c r="M14" s="8">
        <f>('Data &amp; Parameter'!$B$10 - G14)^2</f>
        <v/>
      </c>
      <c r="N14" s="8">
        <f>('Data &amp; Parameter'!$B$11 - H14)^2</f>
        <v/>
      </c>
      <c r="O14" s="12">
        <f>SUM(I14:N14)</f>
        <v/>
      </c>
      <c r="P14" s="13">
        <f>SQRT(O14)</f>
        <v/>
      </c>
      <c r="Q14" s="8">
        <f>'Data &amp; Parameter'!I24</f>
        <v/>
      </c>
      <c r="R14" s="8">
        <f>'Data &amp; Parameter'!J24</f>
        <v/>
      </c>
    </row>
    <row r="15">
      <c r="A15" s="8" t="n">
        <v>10</v>
      </c>
      <c r="B15" s="9">
        <f>'Data &amp; Parameter'!B25</f>
        <v/>
      </c>
      <c r="C15" s="8">
        <f>'Data &amp; Parameter'!C25</f>
        <v/>
      </c>
      <c r="D15" s="8">
        <f>'Data &amp; Parameter'!D25</f>
        <v/>
      </c>
      <c r="E15" s="8">
        <f>'Data &amp; Parameter'!E25</f>
        <v/>
      </c>
      <c r="F15" s="8">
        <f>'Data &amp; Parameter'!F25</f>
        <v/>
      </c>
      <c r="G15" s="8">
        <f>'Data &amp; Parameter'!G25</f>
        <v/>
      </c>
      <c r="H15" s="8">
        <f>'Data &amp; Parameter'!H25</f>
        <v/>
      </c>
      <c r="I15" s="8">
        <f>('Data &amp; Parameter'!$B$6 - C15)^2</f>
        <v/>
      </c>
      <c r="J15" s="8">
        <f>('Data &amp; Parameter'!$B$7 - D15)^2</f>
        <v/>
      </c>
      <c r="K15" s="8">
        <f>('Data &amp; Parameter'!$B$8 - E15)^2</f>
        <v/>
      </c>
      <c r="L15" s="8">
        <f>('Data &amp; Parameter'!$B$9 - F15)^2</f>
        <v/>
      </c>
      <c r="M15" s="8">
        <f>('Data &amp; Parameter'!$B$10 - G15)^2</f>
        <v/>
      </c>
      <c r="N15" s="8">
        <f>('Data &amp; Parameter'!$B$11 - H15)^2</f>
        <v/>
      </c>
      <c r="O15" s="12">
        <f>SUM(I15:N15)</f>
        <v/>
      </c>
      <c r="P15" s="13">
        <f>SQRT(O15)</f>
        <v/>
      </c>
      <c r="Q15" s="8">
        <f>'Data &amp; Parameter'!I25</f>
        <v/>
      </c>
      <c r="R15" s="8">
        <f>'Data &amp; Parameter'!J25</f>
        <v/>
      </c>
    </row>
    <row r="16">
      <c r="A16" s="8" t="n">
        <v>11</v>
      </c>
      <c r="B16" s="9">
        <f>'Data &amp; Parameter'!B26</f>
        <v/>
      </c>
      <c r="C16" s="8">
        <f>'Data &amp; Parameter'!C26</f>
        <v/>
      </c>
      <c r="D16" s="8">
        <f>'Data &amp; Parameter'!D26</f>
        <v/>
      </c>
      <c r="E16" s="8">
        <f>'Data &amp; Parameter'!E26</f>
        <v/>
      </c>
      <c r="F16" s="8">
        <f>'Data &amp; Parameter'!F26</f>
        <v/>
      </c>
      <c r="G16" s="8">
        <f>'Data &amp; Parameter'!G26</f>
        <v/>
      </c>
      <c r="H16" s="8">
        <f>'Data &amp; Parameter'!H26</f>
        <v/>
      </c>
      <c r="I16" s="8">
        <f>('Data &amp; Parameter'!$B$6 - C16)^2</f>
        <v/>
      </c>
      <c r="J16" s="8">
        <f>('Data &amp; Parameter'!$B$7 - D16)^2</f>
        <v/>
      </c>
      <c r="K16" s="8">
        <f>('Data &amp; Parameter'!$B$8 - E16)^2</f>
        <v/>
      </c>
      <c r="L16" s="8">
        <f>('Data &amp; Parameter'!$B$9 - F16)^2</f>
        <v/>
      </c>
      <c r="M16" s="8">
        <f>('Data &amp; Parameter'!$B$10 - G16)^2</f>
        <v/>
      </c>
      <c r="N16" s="8">
        <f>('Data &amp; Parameter'!$B$11 - H16)^2</f>
        <v/>
      </c>
      <c r="O16" s="12">
        <f>SUM(I16:N16)</f>
        <v/>
      </c>
      <c r="P16" s="13">
        <f>SQRT(O16)</f>
        <v/>
      </c>
      <c r="Q16" s="8">
        <f>'Data &amp; Parameter'!I26</f>
        <v/>
      </c>
      <c r="R16" s="8">
        <f>'Data &amp; Parameter'!J26</f>
        <v/>
      </c>
    </row>
    <row r="17">
      <c r="A17" s="8" t="n">
        <v>12</v>
      </c>
      <c r="B17" s="9">
        <f>'Data &amp; Parameter'!B27</f>
        <v/>
      </c>
      <c r="C17" s="8">
        <f>'Data &amp; Parameter'!C27</f>
        <v/>
      </c>
      <c r="D17" s="8">
        <f>'Data &amp; Parameter'!D27</f>
        <v/>
      </c>
      <c r="E17" s="8">
        <f>'Data &amp; Parameter'!E27</f>
        <v/>
      </c>
      <c r="F17" s="8">
        <f>'Data &amp; Parameter'!F27</f>
        <v/>
      </c>
      <c r="G17" s="8">
        <f>'Data &amp; Parameter'!G27</f>
        <v/>
      </c>
      <c r="H17" s="8">
        <f>'Data &amp; Parameter'!H27</f>
        <v/>
      </c>
      <c r="I17" s="8">
        <f>('Data &amp; Parameter'!$B$6 - C17)^2</f>
        <v/>
      </c>
      <c r="J17" s="8">
        <f>('Data &amp; Parameter'!$B$7 - D17)^2</f>
        <v/>
      </c>
      <c r="K17" s="8">
        <f>('Data &amp; Parameter'!$B$8 - E17)^2</f>
        <v/>
      </c>
      <c r="L17" s="8">
        <f>('Data &amp; Parameter'!$B$9 - F17)^2</f>
        <v/>
      </c>
      <c r="M17" s="8">
        <f>('Data &amp; Parameter'!$B$10 - G17)^2</f>
        <v/>
      </c>
      <c r="N17" s="8">
        <f>('Data &amp; Parameter'!$B$11 - H17)^2</f>
        <v/>
      </c>
      <c r="O17" s="12">
        <f>SUM(I17:N17)</f>
        <v/>
      </c>
      <c r="P17" s="13">
        <f>SQRT(O17)</f>
        <v/>
      </c>
      <c r="Q17" s="8">
        <f>'Data &amp; Parameter'!I27</f>
        <v/>
      </c>
      <c r="R17" s="8">
        <f>'Data &amp; Parameter'!J27</f>
        <v/>
      </c>
    </row>
    <row r="18">
      <c r="A18" s="8" t="n">
        <v>13</v>
      </c>
      <c r="B18" s="9">
        <f>'Data &amp; Parameter'!B28</f>
        <v/>
      </c>
      <c r="C18" s="8">
        <f>'Data &amp; Parameter'!C28</f>
        <v/>
      </c>
      <c r="D18" s="8">
        <f>'Data &amp; Parameter'!D28</f>
        <v/>
      </c>
      <c r="E18" s="8">
        <f>'Data &amp; Parameter'!E28</f>
        <v/>
      </c>
      <c r="F18" s="8">
        <f>'Data &amp; Parameter'!F28</f>
        <v/>
      </c>
      <c r="G18" s="8">
        <f>'Data &amp; Parameter'!G28</f>
        <v/>
      </c>
      <c r="H18" s="8">
        <f>'Data &amp; Parameter'!H28</f>
        <v/>
      </c>
      <c r="I18" s="8">
        <f>('Data &amp; Parameter'!$B$6 - C18)^2</f>
        <v/>
      </c>
      <c r="J18" s="8">
        <f>('Data &amp; Parameter'!$B$7 - D18)^2</f>
        <v/>
      </c>
      <c r="K18" s="8">
        <f>('Data &amp; Parameter'!$B$8 - E18)^2</f>
        <v/>
      </c>
      <c r="L18" s="8">
        <f>('Data &amp; Parameter'!$B$9 - F18)^2</f>
        <v/>
      </c>
      <c r="M18" s="8">
        <f>('Data &amp; Parameter'!$B$10 - G18)^2</f>
        <v/>
      </c>
      <c r="N18" s="8">
        <f>('Data &amp; Parameter'!$B$11 - H18)^2</f>
        <v/>
      </c>
      <c r="O18" s="12">
        <f>SUM(I18:N18)</f>
        <v/>
      </c>
      <c r="P18" s="13">
        <f>SQRT(O18)</f>
        <v/>
      </c>
      <c r="Q18" s="8">
        <f>'Data &amp; Parameter'!I28</f>
        <v/>
      </c>
      <c r="R18" s="8">
        <f>'Data &amp; Parameter'!J28</f>
        <v/>
      </c>
    </row>
    <row r="19">
      <c r="A19" s="8" t="n">
        <v>14</v>
      </c>
      <c r="B19" s="9">
        <f>'Data &amp; Parameter'!B29</f>
        <v/>
      </c>
      <c r="C19" s="8">
        <f>'Data &amp; Parameter'!C29</f>
        <v/>
      </c>
      <c r="D19" s="8">
        <f>'Data &amp; Parameter'!D29</f>
        <v/>
      </c>
      <c r="E19" s="8">
        <f>'Data &amp; Parameter'!E29</f>
        <v/>
      </c>
      <c r="F19" s="8">
        <f>'Data &amp; Parameter'!F29</f>
        <v/>
      </c>
      <c r="G19" s="8">
        <f>'Data &amp; Parameter'!G29</f>
        <v/>
      </c>
      <c r="H19" s="8">
        <f>'Data &amp; Parameter'!H29</f>
        <v/>
      </c>
      <c r="I19" s="8">
        <f>('Data &amp; Parameter'!$B$6 - C19)^2</f>
        <v/>
      </c>
      <c r="J19" s="8">
        <f>('Data &amp; Parameter'!$B$7 - D19)^2</f>
        <v/>
      </c>
      <c r="K19" s="8">
        <f>('Data &amp; Parameter'!$B$8 - E19)^2</f>
        <v/>
      </c>
      <c r="L19" s="8">
        <f>('Data &amp; Parameter'!$B$9 - F19)^2</f>
        <v/>
      </c>
      <c r="M19" s="8">
        <f>('Data &amp; Parameter'!$B$10 - G19)^2</f>
        <v/>
      </c>
      <c r="N19" s="8">
        <f>('Data &amp; Parameter'!$B$11 - H19)^2</f>
        <v/>
      </c>
      <c r="O19" s="12">
        <f>SUM(I19:N19)</f>
        <v/>
      </c>
      <c r="P19" s="13">
        <f>SQRT(O19)</f>
        <v/>
      </c>
      <c r="Q19" s="8">
        <f>'Data &amp; Parameter'!I29</f>
        <v/>
      </c>
      <c r="R19" s="8">
        <f>'Data &amp; Parameter'!J29</f>
        <v/>
      </c>
    </row>
    <row r="20">
      <c r="A20" s="8" t="n">
        <v>15</v>
      </c>
      <c r="B20" s="9">
        <f>'Data &amp; Parameter'!B30</f>
        <v/>
      </c>
      <c r="C20" s="8">
        <f>'Data &amp; Parameter'!C30</f>
        <v/>
      </c>
      <c r="D20" s="8">
        <f>'Data &amp; Parameter'!D30</f>
        <v/>
      </c>
      <c r="E20" s="8">
        <f>'Data &amp; Parameter'!E30</f>
        <v/>
      </c>
      <c r="F20" s="8">
        <f>'Data &amp; Parameter'!F30</f>
        <v/>
      </c>
      <c r="G20" s="8">
        <f>'Data &amp; Parameter'!G30</f>
        <v/>
      </c>
      <c r="H20" s="8">
        <f>'Data &amp; Parameter'!H30</f>
        <v/>
      </c>
      <c r="I20" s="8">
        <f>('Data &amp; Parameter'!$B$6 - C20)^2</f>
        <v/>
      </c>
      <c r="J20" s="8">
        <f>('Data &amp; Parameter'!$B$7 - D20)^2</f>
        <v/>
      </c>
      <c r="K20" s="8">
        <f>('Data &amp; Parameter'!$B$8 - E20)^2</f>
        <v/>
      </c>
      <c r="L20" s="8">
        <f>('Data &amp; Parameter'!$B$9 - F20)^2</f>
        <v/>
      </c>
      <c r="M20" s="8">
        <f>('Data &amp; Parameter'!$B$10 - G20)^2</f>
        <v/>
      </c>
      <c r="N20" s="8">
        <f>('Data &amp; Parameter'!$B$11 - H20)^2</f>
        <v/>
      </c>
      <c r="O20" s="12">
        <f>SUM(I20:N20)</f>
        <v/>
      </c>
      <c r="P20" s="13">
        <f>SQRT(O20)</f>
        <v/>
      </c>
      <c r="Q20" s="8">
        <f>'Data &amp; Parameter'!I30</f>
        <v/>
      </c>
      <c r="R20" s="8">
        <f>'Data &amp; Parameter'!J30</f>
        <v/>
      </c>
    </row>
    <row r="21">
      <c r="A21" s="8" t="n">
        <v>16</v>
      </c>
      <c r="B21" s="9">
        <f>'Data &amp; Parameter'!B31</f>
        <v/>
      </c>
      <c r="C21" s="8">
        <f>'Data &amp; Parameter'!C31</f>
        <v/>
      </c>
      <c r="D21" s="8">
        <f>'Data &amp; Parameter'!D31</f>
        <v/>
      </c>
      <c r="E21" s="8">
        <f>'Data &amp; Parameter'!E31</f>
        <v/>
      </c>
      <c r="F21" s="8">
        <f>'Data &amp; Parameter'!F31</f>
        <v/>
      </c>
      <c r="G21" s="8">
        <f>'Data &amp; Parameter'!G31</f>
        <v/>
      </c>
      <c r="H21" s="8">
        <f>'Data &amp; Parameter'!H31</f>
        <v/>
      </c>
      <c r="I21" s="8">
        <f>('Data &amp; Parameter'!$B$6 - C21)^2</f>
        <v/>
      </c>
      <c r="J21" s="8">
        <f>('Data &amp; Parameter'!$B$7 - D21)^2</f>
        <v/>
      </c>
      <c r="K21" s="8">
        <f>('Data &amp; Parameter'!$B$8 - E21)^2</f>
        <v/>
      </c>
      <c r="L21" s="8">
        <f>('Data &amp; Parameter'!$B$9 - F21)^2</f>
        <v/>
      </c>
      <c r="M21" s="8">
        <f>('Data &amp; Parameter'!$B$10 - G21)^2</f>
        <v/>
      </c>
      <c r="N21" s="8">
        <f>('Data &amp; Parameter'!$B$11 - H21)^2</f>
        <v/>
      </c>
      <c r="O21" s="12">
        <f>SUM(I21:N21)</f>
        <v/>
      </c>
      <c r="P21" s="13">
        <f>SQRT(O21)</f>
        <v/>
      </c>
      <c r="Q21" s="8">
        <f>'Data &amp; Parameter'!I31</f>
        <v/>
      </c>
      <c r="R21" s="8">
        <f>'Data &amp; Parameter'!J31</f>
        <v/>
      </c>
    </row>
    <row r="22">
      <c r="A22" s="8" t="n">
        <v>17</v>
      </c>
      <c r="B22" s="9">
        <f>'Data &amp; Parameter'!B32</f>
        <v/>
      </c>
      <c r="C22" s="8">
        <f>'Data &amp; Parameter'!C32</f>
        <v/>
      </c>
      <c r="D22" s="8">
        <f>'Data &amp; Parameter'!D32</f>
        <v/>
      </c>
      <c r="E22" s="8">
        <f>'Data &amp; Parameter'!E32</f>
        <v/>
      </c>
      <c r="F22" s="8">
        <f>'Data &amp; Parameter'!F32</f>
        <v/>
      </c>
      <c r="G22" s="8">
        <f>'Data &amp; Parameter'!G32</f>
        <v/>
      </c>
      <c r="H22" s="8">
        <f>'Data &amp; Parameter'!H32</f>
        <v/>
      </c>
      <c r="I22" s="8">
        <f>('Data &amp; Parameter'!$B$6 - C22)^2</f>
        <v/>
      </c>
      <c r="J22" s="8">
        <f>('Data &amp; Parameter'!$B$7 - D22)^2</f>
        <v/>
      </c>
      <c r="K22" s="8">
        <f>('Data &amp; Parameter'!$B$8 - E22)^2</f>
        <v/>
      </c>
      <c r="L22" s="8">
        <f>('Data &amp; Parameter'!$B$9 - F22)^2</f>
        <v/>
      </c>
      <c r="M22" s="8">
        <f>('Data &amp; Parameter'!$B$10 - G22)^2</f>
        <v/>
      </c>
      <c r="N22" s="8">
        <f>('Data &amp; Parameter'!$B$11 - H22)^2</f>
        <v/>
      </c>
      <c r="O22" s="12">
        <f>SUM(I22:N22)</f>
        <v/>
      </c>
      <c r="P22" s="13">
        <f>SQRT(O22)</f>
        <v/>
      </c>
      <c r="Q22" s="8">
        <f>'Data &amp; Parameter'!I32</f>
        <v/>
      </c>
      <c r="R22" s="8">
        <f>'Data &amp; Parameter'!J32</f>
        <v/>
      </c>
    </row>
    <row r="23">
      <c r="A23" s="8" t="n">
        <v>18</v>
      </c>
      <c r="B23" s="9">
        <f>'Data &amp; Parameter'!B33</f>
        <v/>
      </c>
      <c r="C23" s="8">
        <f>'Data &amp; Parameter'!C33</f>
        <v/>
      </c>
      <c r="D23" s="8">
        <f>'Data &amp; Parameter'!D33</f>
        <v/>
      </c>
      <c r="E23" s="8">
        <f>'Data &amp; Parameter'!E33</f>
        <v/>
      </c>
      <c r="F23" s="8">
        <f>'Data &amp; Parameter'!F33</f>
        <v/>
      </c>
      <c r="G23" s="8">
        <f>'Data &amp; Parameter'!G33</f>
        <v/>
      </c>
      <c r="H23" s="8">
        <f>'Data &amp; Parameter'!H33</f>
        <v/>
      </c>
      <c r="I23" s="8">
        <f>('Data &amp; Parameter'!$B$6 - C23)^2</f>
        <v/>
      </c>
      <c r="J23" s="8">
        <f>('Data &amp; Parameter'!$B$7 - D23)^2</f>
        <v/>
      </c>
      <c r="K23" s="8">
        <f>('Data &amp; Parameter'!$B$8 - E23)^2</f>
        <v/>
      </c>
      <c r="L23" s="8">
        <f>('Data &amp; Parameter'!$B$9 - F23)^2</f>
        <v/>
      </c>
      <c r="M23" s="8">
        <f>('Data &amp; Parameter'!$B$10 - G23)^2</f>
        <v/>
      </c>
      <c r="N23" s="8">
        <f>('Data &amp; Parameter'!$B$11 - H23)^2</f>
        <v/>
      </c>
      <c r="O23" s="12">
        <f>SUM(I23:N23)</f>
        <v/>
      </c>
      <c r="P23" s="13">
        <f>SQRT(O23)</f>
        <v/>
      </c>
      <c r="Q23" s="8">
        <f>'Data &amp; Parameter'!I33</f>
        <v/>
      </c>
      <c r="R23" s="8">
        <f>'Data &amp; Parameter'!J33</f>
        <v/>
      </c>
    </row>
    <row r="24">
      <c r="A24" s="8" t="n">
        <v>19</v>
      </c>
      <c r="B24" s="9">
        <f>'Data &amp; Parameter'!B34</f>
        <v/>
      </c>
      <c r="C24" s="8">
        <f>'Data &amp; Parameter'!C34</f>
        <v/>
      </c>
      <c r="D24" s="8">
        <f>'Data &amp; Parameter'!D34</f>
        <v/>
      </c>
      <c r="E24" s="8">
        <f>'Data &amp; Parameter'!E34</f>
        <v/>
      </c>
      <c r="F24" s="8">
        <f>'Data &amp; Parameter'!F34</f>
        <v/>
      </c>
      <c r="G24" s="8">
        <f>'Data &amp; Parameter'!G34</f>
        <v/>
      </c>
      <c r="H24" s="8">
        <f>'Data &amp; Parameter'!H34</f>
        <v/>
      </c>
      <c r="I24" s="8">
        <f>('Data &amp; Parameter'!$B$6 - C24)^2</f>
        <v/>
      </c>
      <c r="J24" s="8">
        <f>('Data &amp; Parameter'!$B$7 - D24)^2</f>
        <v/>
      </c>
      <c r="K24" s="8">
        <f>('Data &amp; Parameter'!$B$8 - E24)^2</f>
        <v/>
      </c>
      <c r="L24" s="8">
        <f>('Data &amp; Parameter'!$B$9 - F24)^2</f>
        <v/>
      </c>
      <c r="M24" s="8">
        <f>('Data &amp; Parameter'!$B$10 - G24)^2</f>
        <v/>
      </c>
      <c r="N24" s="8">
        <f>('Data &amp; Parameter'!$B$11 - H24)^2</f>
        <v/>
      </c>
      <c r="O24" s="12">
        <f>SUM(I24:N24)</f>
        <v/>
      </c>
      <c r="P24" s="13">
        <f>SQRT(O24)</f>
        <v/>
      </c>
      <c r="Q24" s="8">
        <f>'Data &amp; Parameter'!I34</f>
        <v/>
      </c>
      <c r="R24" s="8">
        <f>'Data &amp; Parameter'!J34</f>
        <v/>
      </c>
    </row>
    <row r="25">
      <c r="A25" s="8" t="n">
        <v>20</v>
      </c>
      <c r="B25" s="9">
        <f>'Data &amp; Parameter'!B35</f>
        <v/>
      </c>
      <c r="C25" s="8">
        <f>'Data &amp; Parameter'!C35</f>
        <v/>
      </c>
      <c r="D25" s="8">
        <f>'Data &amp; Parameter'!D35</f>
        <v/>
      </c>
      <c r="E25" s="8">
        <f>'Data &amp; Parameter'!E35</f>
        <v/>
      </c>
      <c r="F25" s="8">
        <f>'Data &amp; Parameter'!F35</f>
        <v/>
      </c>
      <c r="G25" s="8">
        <f>'Data &amp; Parameter'!G35</f>
        <v/>
      </c>
      <c r="H25" s="8">
        <f>'Data &amp; Parameter'!H35</f>
        <v/>
      </c>
      <c r="I25" s="8">
        <f>('Data &amp; Parameter'!$B$6 - C25)^2</f>
        <v/>
      </c>
      <c r="J25" s="8">
        <f>('Data &amp; Parameter'!$B$7 - D25)^2</f>
        <v/>
      </c>
      <c r="K25" s="8">
        <f>('Data &amp; Parameter'!$B$8 - E25)^2</f>
        <v/>
      </c>
      <c r="L25" s="8">
        <f>('Data &amp; Parameter'!$B$9 - F25)^2</f>
        <v/>
      </c>
      <c r="M25" s="8">
        <f>('Data &amp; Parameter'!$B$10 - G25)^2</f>
        <v/>
      </c>
      <c r="N25" s="8">
        <f>('Data &amp; Parameter'!$B$11 - H25)^2</f>
        <v/>
      </c>
      <c r="O25" s="12">
        <f>SUM(I25:N25)</f>
        <v/>
      </c>
      <c r="P25" s="13">
        <f>SQRT(O25)</f>
        <v/>
      </c>
      <c r="Q25" s="8">
        <f>'Data &amp; Parameter'!I35</f>
        <v/>
      </c>
      <c r="R25" s="8">
        <f>'Data &amp; Parameter'!J35</f>
        <v/>
      </c>
    </row>
    <row r="26">
      <c r="A26" s="8" t="n">
        <v>21</v>
      </c>
      <c r="B26" s="9">
        <f>'Data &amp; Parameter'!B36</f>
        <v/>
      </c>
      <c r="C26" s="8">
        <f>'Data &amp; Parameter'!C36</f>
        <v/>
      </c>
      <c r="D26" s="8">
        <f>'Data &amp; Parameter'!D36</f>
        <v/>
      </c>
      <c r="E26" s="8">
        <f>'Data &amp; Parameter'!E36</f>
        <v/>
      </c>
      <c r="F26" s="8">
        <f>'Data &amp; Parameter'!F36</f>
        <v/>
      </c>
      <c r="G26" s="8">
        <f>'Data &amp; Parameter'!G36</f>
        <v/>
      </c>
      <c r="H26" s="8">
        <f>'Data &amp; Parameter'!H36</f>
        <v/>
      </c>
      <c r="I26" s="8">
        <f>('Data &amp; Parameter'!$B$6 - C26)^2</f>
        <v/>
      </c>
      <c r="J26" s="8">
        <f>('Data &amp; Parameter'!$B$7 - D26)^2</f>
        <v/>
      </c>
      <c r="K26" s="8">
        <f>('Data &amp; Parameter'!$B$8 - E26)^2</f>
        <v/>
      </c>
      <c r="L26" s="8">
        <f>('Data &amp; Parameter'!$B$9 - F26)^2</f>
        <v/>
      </c>
      <c r="M26" s="8">
        <f>('Data &amp; Parameter'!$B$10 - G26)^2</f>
        <v/>
      </c>
      <c r="N26" s="8">
        <f>('Data &amp; Parameter'!$B$11 - H26)^2</f>
        <v/>
      </c>
      <c r="O26" s="12">
        <f>SUM(I26:N26)</f>
        <v/>
      </c>
      <c r="P26" s="13">
        <f>SQRT(O26)</f>
        <v/>
      </c>
      <c r="Q26" s="8">
        <f>'Data &amp; Parameter'!I36</f>
        <v/>
      </c>
      <c r="R26" s="8">
        <f>'Data &amp; Parameter'!J36</f>
        <v/>
      </c>
    </row>
    <row r="27">
      <c r="A27" s="8" t="n">
        <v>22</v>
      </c>
      <c r="B27" s="9">
        <f>'Data &amp; Parameter'!B37</f>
        <v/>
      </c>
      <c r="C27" s="8">
        <f>'Data &amp; Parameter'!C37</f>
        <v/>
      </c>
      <c r="D27" s="8">
        <f>'Data &amp; Parameter'!D37</f>
        <v/>
      </c>
      <c r="E27" s="8">
        <f>'Data &amp; Parameter'!E37</f>
        <v/>
      </c>
      <c r="F27" s="8">
        <f>'Data &amp; Parameter'!F37</f>
        <v/>
      </c>
      <c r="G27" s="8">
        <f>'Data &amp; Parameter'!G37</f>
        <v/>
      </c>
      <c r="H27" s="8">
        <f>'Data &amp; Parameter'!H37</f>
        <v/>
      </c>
      <c r="I27" s="8">
        <f>('Data &amp; Parameter'!$B$6 - C27)^2</f>
        <v/>
      </c>
      <c r="J27" s="8">
        <f>('Data &amp; Parameter'!$B$7 - D27)^2</f>
        <v/>
      </c>
      <c r="K27" s="8">
        <f>('Data &amp; Parameter'!$B$8 - E27)^2</f>
        <v/>
      </c>
      <c r="L27" s="8">
        <f>('Data &amp; Parameter'!$B$9 - F27)^2</f>
        <v/>
      </c>
      <c r="M27" s="8">
        <f>('Data &amp; Parameter'!$B$10 - G27)^2</f>
        <v/>
      </c>
      <c r="N27" s="8">
        <f>('Data &amp; Parameter'!$B$11 - H27)^2</f>
        <v/>
      </c>
      <c r="O27" s="12">
        <f>SUM(I27:N27)</f>
        <v/>
      </c>
      <c r="P27" s="13">
        <f>SQRT(O27)</f>
        <v/>
      </c>
      <c r="Q27" s="8">
        <f>'Data &amp; Parameter'!I37</f>
        <v/>
      </c>
      <c r="R27" s="8">
        <f>'Data &amp; Parameter'!J37</f>
        <v/>
      </c>
    </row>
    <row r="28">
      <c r="A28" s="8" t="n">
        <v>23</v>
      </c>
      <c r="B28" s="9">
        <f>'Data &amp; Parameter'!B38</f>
        <v/>
      </c>
      <c r="C28" s="8">
        <f>'Data &amp; Parameter'!C38</f>
        <v/>
      </c>
      <c r="D28" s="8">
        <f>'Data &amp; Parameter'!D38</f>
        <v/>
      </c>
      <c r="E28" s="8">
        <f>'Data &amp; Parameter'!E38</f>
        <v/>
      </c>
      <c r="F28" s="8">
        <f>'Data &amp; Parameter'!F38</f>
        <v/>
      </c>
      <c r="G28" s="8">
        <f>'Data &amp; Parameter'!G38</f>
        <v/>
      </c>
      <c r="H28" s="8">
        <f>'Data &amp; Parameter'!H38</f>
        <v/>
      </c>
      <c r="I28" s="8">
        <f>('Data &amp; Parameter'!$B$6 - C28)^2</f>
        <v/>
      </c>
      <c r="J28" s="8">
        <f>('Data &amp; Parameter'!$B$7 - D28)^2</f>
        <v/>
      </c>
      <c r="K28" s="8">
        <f>('Data &amp; Parameter'!$B$8 - E28)^2</f>
        <v/>
      </c>
      <c r="L28" s="8">
        <f>('Data &amp; Parameter'!$B$9 - F28)^2</f>
        <v/>
      </c>
      <c r="M28" s="8">
        <f>('Data &amp; Parameter'!$B$10 - G28)^2</f>
        <v/>
      </c>
      <c r="N28" s="8">
        <f>('Data &amp; Parameter'!$B$11 - H28)^2</f>
        <v/>
      </c>
      <c r="O28" s="12">
        <f>SUM(I28:N28)</f>
        <v/>
      </c>
      <c r="P28" s="13">
        <f>SQRT(O28)</f>
        <v/>
      </c>
      <c r="Q28" s="8">
        <f>'Data &amp; Parameter'!I38</f>
        <v/>
      </c>
      <c r="R28" s="8">
        <f>'Data &amp; Parameter'!J38</f>
        <v/>
      </c>
    </row>
    <row r="29">
      <c r="A29" s="8" t="n">
        <v>24</v>
      </c>
      <c r="B29" s="9">
        <f>'Data &amp; Parameter'!B39</f>
        <v/>
      </c>
      <c r="C29" s="8">
        <f>'Data &amp; Parameter'!C39</f>
        <v/>
      </c>
      <c r="D29" s="8">
        <f>'Data &amp; Parameter'!D39</f>
        <v/>
      </c>
      <c r="E29" s="8">
        <f>'Data &amp; Parameter'!E39</f>
        <v/>
      </c>
      <c r="F29" s="8">
        <f>'Data &amp; Parameter'!F39</f>
        <v/>
      </c>
      <c r="G29" s="8">
        <f>'Data &amp; Parameter'!G39</f>
        <v/>
      </c>
      <c r="H29" s="8">
        <f>'Data &amp; Parameter'!H39</f>
        <v/>
      </c>
      <c r="I29" s="8">
        <f>('Data &amp; Parameter'!$B$6 - C29)^2</f>
        <v/>
      </c>
      <c r="J29" s="8">
        <f>('Data &amp; Parameter'!$B$7 - D29)^2</f>
        <v/>
      </c>
      <c r="K29" s="8">
        <f>('Data &amp; Parameter'!$B$8 - E29)^2</f>
        <v/>
      </c>
      <c r="L29" s="8">
        <f>('Data &amp; Parameter'!$B$9 - F29)^2</f>
        <v/>
      </c>
      <c r="M29" s="8">
        <f>('Data &amp; Parameter'!$B$10 - G29)^2</f>
        <v/>
      </c>
      <c r="N29" s="8">
        <f>('Data &amp; Parameter'!$B$11 - H29)^2</f>
        <v/>
      </c>
      <c r="O29" s="12">
        <f>SUM(I29:N29)</f>
        <v/>
      </c>
      <c r="P29" s="13">
        <f>SQRT(O29)</f>
        <v/>
      </c>
      <c r="Q29" s="8">
        <f>'Data &amp; Parameter'!I39</f>
        <v/>
      </c>
      <c r="R29" s="8">
        <f>'Data &amp; Parameter'!J39</f>
        <v/>
      </c>
    </row>
    <row r="30">
      <c r="A30" s="8" t="n">
        <v>25</v>
      </c>
      <c r="B30" s="9">
        <f>'Data &amp; Parameter'!B40</f>
        <v/>
      </c>
      <c r="C30" s="8">
        <f>'Data &amp; Parameter'!C40</f>
        <v/>
      </c>
      <c r="D30" s="8">
        <f>'Data &amp; Parameter'!D40</f>
        <v/>
      </c>
      <c r="E30" s="8">
        <f>'Data &amp; Parameter'!E40</f>
        <v/>
      </c>
      <c r="F30" s="8">
        <f>'Data &amp; Parameter'!F40</f>
        <v/>
      </c>
      <c r="G30" s="8">
        <f>'Data &amp; Parameter'!G40</f>
        <v/>
      </c>
      <c r="H30" s="8">
        <f>'Data &amp; Parameter'!H40</f>
        <v/>
      </c>
      <c r="I30" s="8">
        <f>('Data &amp; Parameter'!$B$6 - C30)^2</f>
        <v/>
      </c>
      <c r="J30" s="8">
        <f>('Data &amp; Parameter'!$B$7 - D30)^2</f>
        <v/>
      </c>
      <c r="K30" s="8">
        <f>('Data &amp; Parameter'!$B$8 - E30)^2</f>
        <v/>
      </c>
      <c r="L30" s="8">
        <f>('Data &amp; Parameter'!$B$9 - F30)^2</f>
        <v/>
      </c>
      <c r="M30" s="8">
        <f>('Data &amp; Parameter'!$B$10 - G30)^2</f>
        <v/>
      </c>
      <c r="N30" s="8">
        <f>('Data &amp; Parameter'!$B$11 - H30)^2</f>
        <v/>
      </c>
      <c r="O30" s="12">
        <f>SUM(I30:N30)</f>
        <v/>
      </c>
      <c r="P30" s="13">
        <f>SQRT(O30)</f>
        <v/>
      </c>
      <c r="Q30" s="8">
        <f>'Data &amp; Parameter'!I40</f>
        <v/>
      </c>
      <c r="R30" s="8">
        <f>'Data &amp; Parameter'!J40</f>
        <v/>
      </c>
    </row>
    <row r="31">
      <c r="A31" s="8" t="n">
        <v>26</v>
      </c>
      <c r="B31" s="9">
        <f>'Data &amp; Parameter'!B41</f>
        <v/>
      </c>
      <c r="C31" s="8">
        <f>'Data &amp; Parameter'!C41</f>
        <v/>
      </c>
      <c r="D31" s="8">
        <f>'Data &amp; Parameter'!D41</f>
        <v/>
      </c>
      <c r="E31" s="8">
        <f>'Data &amp; Parameter'!E41</f>
        <v/>
      </c>
      <c r="F31" s="8">
        <f>'Data &amp; Parameter'!F41</f>
        <v/>
      </c>
      <c r="G31" s="8">
        <f>'Data &amp; Parameter'!G41</f>
        <v/>
      </c>
      <c r="H31" s="8">
        <f>'Data &amp; Parameter'!H41</f>
        <v/>
      </c>
      <c r="I31" s="8">
        <f>('Data &amp; Parameter'!$B$6 - C31)^2</f>
        <v/>
      </c>
      <c r="J31" s="8">
        <f>('Data &amp; Parameter'!$B$7 - D31)^2</f>
        <v/>
      </c>
      <c r="K31" s="8">
        <f>('Data &amp; Parameter'!$B$8 - E31)^2</f>
        <v/>
      </c>
      <c r="L31" s="8">
        <f>('Data &amp; Parameter'!$B$9 - F31)^2</f>
        <v/>
      </c>
      <c r="M31" s="8">
        <f>('Data &amp; Parameter'!$B$10 - G31)^2</f>
        <v/>
      </c>
      <c r="N31" s="8">
        <f>('Data &amp; Parameter'!$B$11 - H31)^2</f>
        <v/>
      </c>
      <c r="O31" s="12">
        <f>SUM(I31:N31)</f>
        <v/>
      </c>
      <c r="P31" s="13">
        <f>SQRT(O31)</f>
        <v/>
      </c>
      <c r="Q31" s="8">
        <f>'Data &amp; Parameter'!I41</f>
        <v/>
      </c>
      <c r="R31" s="8">
        <f>'Data &amp; Parameter'!J41</f>
        <v/>
      </c>
    </row>
    <row r="32">
      <c r="A32" s="8" t="n">
        <v>27</v>
      </c>
      <c r="B32" s="9">
        <f>'Data &amp; Parameter'!B42</f>
        <v/>
      </c>
      <c r="C32" s="8">
        <f>'Data &amp; Parameter'!C42</f>
        <v/>
      </c>
      <c r="D32" s="8">
        <f>'Data &amp; Parameter'!D42</f>
        <v/>
      </c>
      <c r="E32" s="8">
        <f>'Data &amp; Parameter'!E42</f>
        <v/>
      </c>
      <c r="F32" s="8">
        <f>'Data &amp; Parameter'!F42</f>
        <v/>
      </c>
      <c r="G32" s="8">
        <f>'Data &amp; Parameter'!G42</f>
        <v/>
      </c>
      <c r="H32" s="8">
        <f>'Data &amp; Parameter'!H42</f>
        <v/>
      </c>
      <c r="I32" s="8">
        <f>('Data &amp; Parameter'!$B$6 - C32)^2</f>
        <v/>
      </c>
      <c r="J32" s="8">
        <f>('Data &amp; Parameter'!$B$7 - D32)^2</f>
        <v/>
      </c>
      <c r="K32" s="8">
        <f>('Data &amp; Parameter'!$B$8 - E32)^2</f>
        <v/>
      </c>
      <c r="L32" s="8">
        <f>('Data &amp; Parameter'!$B$9 - F32)^2</f>
        <v/>
      </c>
      <c r="M32" s="8">
        <f>('Data &amp; Parameter'!$B$10 - G32)^2</f>
        <v/>
      </c>
      <c r="N32" s="8">
        <f>('Data &amp; Parameter'!$B$11 - H32)^2</f>
        <v/>
      </c>
      <c r="O32" s="12">
        <f>SUM(I32:N32)</f>
        <v/>
      </c>
      <c r="P32" s="13">
        <f>SQRT(O32)</f>
        <v/>
      </c>
      <c r="Q32" s="8">
        <f>'Data &amp; Parameter'!I42</f>
        <v/>
      </c>
      <c r="R32" s="8">
        <f>'Data &amp; Parameter'!J42</f>
        <v/>
      </c>
    </row>
    <row r="33">
      <c r="A33" s="8" t="n">
        <v>28</v>
      </c>
      <c r="B33" s="9">
        <f>'Data &amp; Parameter'!B43</f>
        <v/>
      </c>
      <c r="C33" s="8">
        <f>'Data &amp; Parameter'!C43</f>
        <v/>
      </c>
      <c r="D33" s="8">
        <f>'Data &amp; Parameter'!D43</f>
        <v/>
      </c>
      <c r="E33" s="8">
        <f>'Data &amp; Parameter'!E43</f>
        <v/>
      </c>
      <c r="F33" s="8">
        <f>'Data &amp; Parameter'!F43</f>
        <v/>
      </c>
      <c r="G33" s="8">
        <f>'Data &amp; Parameter'!G43</f>
        <v/>
      </c>
      <c r="H33" s="8">
        <f>'Data &amp; Parameter'!H43</f>
        <v/>
      </c>
      <c r="I33" s="8">
        <f>('Data &amp; Parameter'!$B$6 - C33)^2</f>
        <v/>
      </c>
      <c r="J33" s="8">
        <f>('Data &amp; Parameter'!$B$7 - D33)^2</f>
        <v/>
      </c>
      <c r="K33" s="8">
        <f>('Data &amp; Parameter'!$B$8 - E33)^2</f>
        <v/>
      </c>
      <c r="L33" s="8">
        <f>('Data &amp; Parameter'!$B$9 - F33)^2</f>
        <v/>
      </c>
      <c r="M33" s="8">
        <f>('Data &amp; Parameter'!$B$10 - G33)^2</f>
        <v/>
      </c>
      <c r="N33" s="8">
        <f>('Data &amp; Parameter'!$B$11 - H33)^2</f>
        <v/>
      </c>
      <c r="O33" s="12">
        <f>SUM(I33:N33)</f>
        <v/>
      </c>
      <c r="P33" s="13">
        <f>SQRT(O33)</f>
        <v/>
      </c>
      <c r="Q33" s="8">
        <f>'Data &amp; Parameter'!I43</f>
        <v/>
      </c>
      <c r="R33" s="8">
        <f>'Data &amp; Parameter'!J43</f>
        <v/>
      </c>
    </row>
    <row r="34">
      <c r="A34" s="8" t="n">
        <v>29</v>
      </c>
      <c r="B34" s="9">
        <f>'Data &amp; Parameter'!B44</f>
        <v/>
      </c>
      <c r="C34" s="8">
        <f>'Data &amp; Parameter'!C44</f>
        <v/>
      </c>
      <c r="D34" s="8">
        <f>'Data &amp; Parameter'!D44</f>
        <v/>
      </c>
      <c r="E34" s="8">
        <f>'Data &amp; Parameter'!E44</f>
        <v/>
      </c>
      <c r="F34" s="8">
        <f>'Data &amp; Parameter'!F44</f>
        <v/>
      </c>
      <c r="G34" s="8">
        <f>'Data &amp; Parameter'!G44</f>
        <v/>
      </c>
      <c r="H34" s="8">
        <f>'Data &amp; Parameter'!H44</f>
        <v/>
      </c>
      <c r="I34" s="8">
        <f>('Data &amp; Parameter'!$B$6 - C34)^2</f>
        <v/>
      </c>
      <c r="J34" s="8">
        <f>('Data &amp; Parameter'!$B$7 - D34)^2</f>
        <v/>
      </c>
      <c r="K34" s="8">
        <f>('Data &amp; Parameter'!$B$8 - E34)^2</f>
        <v/>
      </c>
      <c r="L34" s="8">
        <f>('Data &amp; Parameter'!$B$9 - F34)^2</f>
        <v/>
      </c>
      <c r="M34" s="8">
        <f>('Data &amp; Parameter'!$B$10 - G34)^2</f>
        <v/>
      </c>
      <c r="N34" s="8">
        <f>('Data &amp; Parameter'!$B$11 - H34)^2</f>
        <v/>
      </c>
      <c r="O34" s="12">
        <f>SUM(I34:N34)</f>
        <v/>
      </c>
      <c r="P34" s="13">
        <f>SQRT(O34)</f>
        <v/>
      </c>
      <c r="Q34" s="8">
        <f>'Data &amp; Parameter'!I44</f>
        <v/>
      </c>
      <c r="R34" s="8">
        <f>'Data &amp; Parameter'!J44</f>
        <v/>
      </c>
    </row>
    <row r="35">
      <c r="A35" s="8" t="n">
        <v>30</v>
      </c>
      <c r="B35" s="9">
        <f>'Data &amp; Parameter'!B45</f>
        <v/>
      </c>
      <c r="C35" s="8">
        <f>'Data &amp; Parameter'!C45</f>
        <v/>
      </c>
      <c r="D35" s="8">
        <f>'Data &amp; Parameter'!D45</f>
        <v/>
      </c>
      <c r="E35" s="8">
        <f>'Data &amp; Parameter'!E45</f>
        <v/>
      </c>
      <c r="F35" s="8">
        <f>'Data &amp; Parameter'!F45</f>
        <v/>
      </c>
      <c r="G35" s="8">
        <f>'Data &amp; Parameter'!G45</f>
        <v/>
      </c>
      <c r="H35" s="8">
        <f>'Data &amp; Parameter'!H45</f>
        <v/>
      </c>
      <c r="I35" s="8">
        <f>('Data &amp; Parameter'!$B$6 - C35)^2</f>
        <v/>
      </c>
      <c r="J35" s="8">
        <f>('Data &amp; Parameter'!$B$7 - D35)^2</f>
        <v/>
      </c>
      <c r="K35" s="8">
        <f>('Data &amp; Parameter'!$B$8 - E35)^2</f>
        <v/>
      </c>
      <c r="L35" s="8">
        <f>('Data &amp; Parameter'!$B$9 - F35)^2</f>
        <v/>
      </c>
      <c r="M35" s="8">
        <f>('Data &amp; Parameter'!$B$10 - G35)^2</f>
        <v/>
      </c>
      <c r="N35" s="8">
        <f>('Data &amp; Parameter'!$B$11 - H35)^2</f>
        <v/>
      </c>
      <c r="O35" s="12">
        <f>SUM(I35:N35)</f>
        <v/>
      </c>
      <c r="P35" s="13">
        <f>SQRT(O35)</f>
        <v/>
      </c>
      <c r="Q35" s="8">
        <f>'Data &amp; Parameter'!I45</f>
        <v/>
      </c>
      <c r="R35" s="8">
        <f>'Data &amp; Parameter'!J45</f>
        <v/>
      </c>
    </row>
    <row r="36">
      <c r="A36" s="8" t="n">
        <v>31</v>
      </c>
      <c r="B36" s="9">
        <f>'Data &amp; Parameter'!B46</f>
        <v/>
      </c>
      <c r="C36" s="8">
        <f>'Data &amp; Parameter'!C46</f>
        <v/>
      </c>
      <c r="D36" s="8">
        <f>'Data &amp; Parameter'!D46</f>
        <v/>
      </c>
      <c r="E36" s="8">
        <f>'Data &amp; Parameter'!E46</f>
        <v/>
      </c>
      <c r="F36" s="8">
        <f>'Data &amp; Parameter'!F46</f>
        <v/>
      </c>
      <c r="G36" s="8">
        <f>'Data &amp; Parameter'!G46</f>
        <v/>
      </c>
      <c r="H36" s="8">
        <f>'Data &amp; Parameter'!H46</f>
        <v/>
      </c>
      <c r="I36" s="8">
        <f>('Data &amp; Parameter'!$B$6 - C36)^2</f>
        <v/>
      </c>
      <c r="J36" s="8">
        <f>('Data &amp; Parameter'!$B$7 - D36)^2</f>
        <v/>
      </c>
      <c r="K36" s="8">
        <f>('Data &amp; Parameter'!$B$8 - E36)^2</f>
        <v/>
      </c>
      <c r="L36" s="8">
        <f>('Data &amp; Parameter'!$B$9 - F36)^2</f>
        <v/>
      </c>
      <c r="M36" s="8">
        <f>('Data &amp; Parameter'!$B$10 - G36)^2</f>
        <v/>
      </c>
      <c r="N36" s="8">
        <f>('Data &amp; Parameter'!$B$11 - H36)^2</f>
        <v/>
      </c>
      <c r="O36" s="12">
        <f>SUM(I36:N36)</f>
        <v/>
      </c>
      <c r="P36" s="13">
        <f>SQRT(O36)</f>
        <v/>
      </c>
      <c r="Q36" s="8">
        <f>'Data &amp; Parameter'!I46</f>
        <v/>
      </c>
      <c r="R36" s="8">
        <f>'Data &amp; Parameter'!J46</f>
        <v/>
      </c>
    </row>
    <row r="37">
      <c r="A37" s="8" t="n">
        <v>32</v>
      </c>
      <c r="B37" s="9">
        <f>'Data &amp; Parameter'!B47</f>
        <v/>
      </c>
      <c r="C37" s="8">
        <f>'Data &amp; Parameter'!C47</f>
        <v/>
      </c>
      <c r="D37" s="8">
        <f>'Data &amp; Parameter'!D47</f>
        <v/>
      </c>
      <c r="E37" s="8">
        <f>'Data &amp; Parameter'!E47</f>
        <v/>
      </c>
      <c r="F37" s="8">
        <f>'Data &amp; Parameter'!F47</f>
        <v/>
      </c>
      <c r="G37" s="8">
        <f>'Data &amp; Parameter'!G47</f>
        <v/>
      </c>
      <c r="H37" s="8">
        <f>'Data &amp; Parameter'!H47</f>
        <v/>
      </c>
      <c r="I37" s="8">
        <f>('Data &amp; Parameter'!$B$6 - C37)^2</f>
        <v/>
      </c>
      <c r="J37" s="8">
        <f>('Data &amp; Parameter'!$B$7 - D37)^2</f>
        <v/>
      </c>
      <c r="K37" s="8">
        <f>('Data &amp; Parameter'!$B$8 - E37)^2</f>
        <v/>
      </c>
      <c r="L37" s="8">
        <f>('Data &amp; Parameter'!$B$9 - F37)^2</f>
        <v/>
      </c>
      <c r="M37" s="8">
        <f>('Data &amp; Parameter'!$B$10 - G37)^2</f>
        <v/>
      </c>
      <c r="N37" s="8">
        <f>('Data &amp; Parameter'!$B$11 - H37)^2</f>
        <v/>
      </c>
      <c r="O37" s="12">
        <f>SUM(I37:N37)</f>
        <v/>
      </c>
      <c r="P37" s="13">
        <f>SQRT(O37)</f>
        <v/>
      </c>
      <c r="Q37" s="8">
        <f>'Data &amp; Parameter'!I47</f>
        <v/>
      </c>
      <c r="R37" s="8">
        <f>'Data &amp; Parameter'!J47</f>
        <v/>
      </c>
    </row>
  </sheetData>
  <mergeCells count="8">
    <mergeCell ref="B4:B5"/>
    <mergeCell ref="Q4:Q5"/>
    <mergeCell ref="R4:R5"/>
    <mergeCell ref="A4:A5"/>
    <mergeCell ref="O4:O5"/>
    <mergeCell ref="P4:P5"/>
    <mergeCell ref="C4:H4"/>
    <mergeCell ref="I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37" customWidth="1" min="3" max="3"/>
    <col width="37" customWidth="1" min="4" max="4"/>
    <col width="37" customWidth="1" min="5" max="5"/>
    <col width="37" customWidth="1" min="6" max="6"/>
    <col width="12" customWidth="1" min="7" max="7"/>
    <col width="28" customWidth="1" min="8" max="8"/>
    <col width="51" customWidth="1" min="9" max="9"/>
    <col width="18" customWidth="1" min="10" max="10"/>
    <col width="13" customWidth="1" min="11" max="11"/>
    <col width="18" customWidth="1" min="12" max="12"/>
  </cols>
  <sheetData>
    <row r="1">
      <c r="A1" s="1" t="inlineStr">
        <is>
          <t>LANGKAH 2: PENGURUTAN JARAK &amp; VOTING K-NEAREST NEIGHBORS</t>
        </is>
      </c>
    </row>
    <row r="2">
      <c r="A2" s="2" t="inlineStr">
        <is>
          <t>Mengurutkan data training dari jarak Euclidean terkecil dan mengambil K tetangga terdekat.</t>
        </is>
      </c>
    </row>
    <row r="3"/>
    <row r="4">
      <c r="A4" s="3" t="inlineStr">
        <is>
          <t>HASIL PENGURUTAN SELURUH DATA BASED ON JARAK EUCLIDEAN TERKECIL</t>
        </is>
      </c>
      <c r="H4" s="3" t="inlineStr">
        <is>
          <t>PENENTUAN K-TETANGGA TERDEKAT (K = 3)</t>
        </is>
      </c>
    </row>
    <row r="5">
      <c r="A5" s="7" t="inlineStr">
        <is>
          <t>Peringkat Jarak</t>
        </is>
      </c>
      <c r="B5" s="7" t="inlineStr">
        <is>
          <t>Nama Siswa</t>
        </is>
      </c>
      <c r="C5" s="7" t="inlineStr">
        <is>
          <t>Jarak Euclidean</t>
        </is>
      </c>
      <c r="D5" s="7" t="inlineStr">
        <is>
          <t>Total Selisih Kuadrat</t>
        </is>
      </c>
      <c r="E5" s="7" t="inlineStr">
        <is>
          <t>Rank Siswa</t>
        </is>
      </c>
      <c r="F5" s="7" t="inlineStr">
        <is>
          <t>Ekstrakurikuler</t>
        </is>
      </c>
      <c r="H5" s="7" t="inlineStr">
        <is>
          <t>Peringkat (K)</t>
        </is>
      </c>
      <c r="I5" s="7" t="inlineStr">
        <is>
          <t>Nama Siswa Terdekat</t>
        </is>
      </c>
      <c r="J5" s="7" t="inlineStr">
        <is>
          <t>Jarak Euclidean</t>
        </is>
      </c>
      <c r="K5" s="7" t="inlineStr">
        <is>
          <t>Rank Siswa</t>
        </is>
      </c>
      <c r="L5" s="7" t="inlineStr">
        <is>
          <t>Ekstrakurikuler</t>
        </is>
      </c>
    </row>
    <row r="6">
      <c r="A6" s="5" t="n">
        <v>1</v>
      </c>
      <c r="B6" s="14">
        <f>'Langkah 1 - Jarak Euclidean'!B31</f>
        <v/>
      </c>
      <c r="C6" s="15">
        <f>'Langkah 1 - Jarak Euclidean'!P31</f>
        <v/>
      </c>
      <c r="D6" s="5">
        <f>'Langkah 1 - Jarak Euclidean'!O31</f>
        <v/>
      </c>
      <c r="E6" s="5">
        <f>'Langkah 1 - Jarak Euclidean'!Q31</f>
        <v/>
      </c>
      <c r="F6" s="5">
        <f>'Langkah 1 - Jarak Euclidean'!R31</f>
        <v/>
      </c>
      <c r="H6" s="16" t="n">
        <v>1</v>
      </c>
      <c r="I6" s="17">
        <f>B6</f>
        <v/>
      </c>
      <c r="J6" s="13">
        <f>C6</f>
        <v/>
      </c>
      <c r="K6" s="16">
        <f>E6</f>
        <v/>
      </c>
      <c r="L6" s="16">
        <f>F6</f>
        <v/>
      </c>
    </row>
    <row r="7">
      <c r="A7" s="5" t="n">
        <v>2</v>
      </c>
      <c r="B7" s="14">
        <f>'Langkah 1 - Jarak Euclidean'!B10</f>
        <v/>
      </c>
      <c r="C7" s="15">
        <f>'Langkah 1 - Jarak Euclidean'!P10</f>
        <v/>
      </c>
      <c r="D7" s="5">
        <f>'Langkah 1 - Jarak Euclidean'!O10</f>
        <v/>
      </c>
      <c r="E7" s="5">
        <f>'Langkah 1 - Jarak Euclidean'!Q10</f>
        <v/>
      </c>
      <c r="F7" s="5">
        <f>'Langkah 1 - Jarak Euclidean'!R10</f>
        <v/>
      </c>
      <c r="H7" s="16" t="n">
        <v>2</v>
      </c>
      <c r="I7" s="17">
        <f>B7</f>
        <v/>
      </c>
      <c r="J7" s="13">
        <f>C7</f>
        <v/>
      </c>
      <c r="K7" s="16">
        <f>E7</f>
        <v/>
      </c>
      <c r="L7" s="16">
        <f>F7</f>
        <v/>
      </c>
    </row>
    <row r="8">
      <c r="A8" s="5" t="n">
        <v>3</v>
      </c>
      <c r="B8" s="14">
        <f>'Langkah 1 - Jarak Euclidean'!B15</f>
        <v/>
      </c>
      <c r="C8" s="15">
        <f>'Langkah 1 - Jarak Euclidean'!P15</f>
        <v/>
      </c>
      <c r="D8" s="5">
        <f>'Langkah 1 - Jarak Euclidean'!O15</f>
        <v/>
      </c>
      <c r="E8" s="5">
        <f>'Langkah 1 - Jarak Euclidean'!Q15</f>
        <v/>
      </c>
      <c r="F8" s="5">
        <f>'Langkah 1 - Jarak Euclidean'!R15</f>
        <v/>
      </c>
      <c r="H8" s="16" t="n">
        <v>3</v>
      </c>
      <c r="I8" s="17">
        <f>B8</f>
        <v/>
      </c>
      <c r="J8" s="13">
        <f>C8</f>
        <v/>
      </c>
      <c r="K8" s="16">
        <f>E8</f>
        <v/>
      </c>
      <c r="L8" s="16">
        <f>F8</f>
        <v/>
      </c>
    </row>
    <row r="9">
      <c r="A9" s="8" t="n">
        <v>4</v>
      </c>
      <c r="B9" s="9">
        <f>'Langkah 1 - Jarak Euclidean'!B27</f>
        <v/>
      </c>
      <c r="C9" s="18">
        <f>'Langkah 1 - Jarak Euclidean'!P27</f>
        <v/>
      </c>
      <c r="D9" s="8">
        <f>'Langkah 1 - Jarak Euclidean'!O27</f>
        <v/>
      </c>
      <c r="E9" s="8">
        <f>'Langkah 1 - Jarak Euclidean'!Q27</f>
        <v/>
      </c>
      <c r="F9" s="8">
        <f>'Langkah 1 - Jarak Euclidean'!R27</f>
        <v/>
      </c>
    </row>
    <row r="10">
      <c r="A10" s="8" t="n">
        <v>5</v>
      </c>
      <c r="B10" s="9">
        <f>'Langkah 1 - Jarak Euclidean'!B13</f>
        <v/>
      </c>
      <c r="C10" s="18">
        <f>'Langkah 1 - Jarak Euclidean'!P13</f>
        <v/>
      </c>
      <c r="D10" s="8">
        <f>'Langkah 1 - Jarak Euclidean'!O13</f>
        <v/>
      </c>
      <c r="E10" s="8">
        <f>'Langkah 1 - Jarak Euclidean'!Q13</f>
        <v/>
      </c>
      <c r="F10" s="8">
        <f>'Langkah 1 - Jarak Euclidean'!R13</f>
        <v/>
      </c>
      <c r="H10" s="3" t="inlineStr">
        <is>
          <t>REKAPITULASI VOTING EKSTRAKURIKULER (MAJORITY VOTE)</t>
        </is>
      </c>
    </row>
    <row r="11">
      <c r="A11" s="8" t="n">
        <v>6</v>
      </c>
      <c r="B11" s="9">
        <f>'Langkah 1 - Jarak Euclidean'!B14</f>
        <v/>
      </c>
      <c r="C11" s="18">
        <f>'Langkah 1 - Jarak Euclidean'!P14</f>
        <v/>
      </c>
      <c r="D11" s="8">
        <f>'Langkah 1 - Jarak Euclidean'!O14</f>
        <v/>
      </c>
      <c r="E11" s="8">
        <f>'Langkah 1 - Jarak Euclidean'!Q14</f>
        <v/>
      </c>
      <c r="F11" s="8">
        <f>'Langkah 1 - Jarak Euclidean'!R14</f>
        <v/>
      </c>
      <c r="H11" s="19" t="inlineStr">
        <is>
          <t>Nama Ekstrakurikuler</t>
        </is>
      </c>
      <c r="I11" s="19" t="inlineStr">
        <is>
          <t>Jumlah Suara (Votes)</t>
        </is>
      </c>
    </row>
    <row r="12">
      <c r="A12" s="8" t="n">
        <v>7</v>
      </c>
      <c r="B12" s="9">
        <f>'Langkah 1 - Jarak Euclidean'!B22</f>
        <v/>
      </c>
      <c r="C12" s="18">
        <f>'Langkah 1 - Jarak Euclidean'!P22</f>
        <v/>
      </c>
      <c r="D12" s="8">
        <f>'Langkah 1 - Jarak Euclidean'!O22</f>
        <v/>
      </c>
      <c r="E12" s="8">
        <f>'Langkah 1 - Jarak Euclidean'!Q22</f>
        <v/>
      </c>
      <c r="F12" s="8">
        <f>'Langkah 1 - Jarak Euclidean'!R22</f>
        <v/>
      </c>
      <c r="H12" s="9" t="inlineStr">
        <is>
          <t>Voli</t>
        </is>
      </c>
      <c r="I12" s="12">
        <f>COUNTIF($L$6:$L$8, "Voli")</f>
        <v/>
      </c>
    </row>
    <row r="13">
      <c r="A13" s="8" t="n">
        <v>8</v>
      </c>
      <c r="B13" s="9">
        <f>'Langkah 1 - Jarak Euclidean'!B9</f>
        <v/>
      </c>
      <c r="C13" s="18">
        <f>'Langkah 1 - Jarak Euclidean'!P9</f>
        <v/>
      </c>
      <c r="D13" s="8">
        <f>'Langkah 1 - Jarak Euclidean'!O9</f>
        <v/>
      </c>
      <c r="E13" s="8">
        <f>'Langkah 1 - Jarak Euclidean'!Q9</f>
        <v/>
      </c>
      <c r="F13" s="8">
        <f>'Langkah 1 - Jarak Euclidean'!R9</f>
        <v/>
      </c>
      <c r="H13" s="9" t="inlineStr">
        <is>
          <t>Tahfiz</t>
        </is>
      </c>
      <c r="I13" s="12">
        <f>COUNTIF($L$6:$L$8, "Tahfiz")</f>
        <v/>
      </c>
    </row>
    <row r="14">
      <c r="A14" s="8" t="n">
        <v>9</v>
      </c>
      <c r="B14" s="9">
        <f>'Langkah 1 - Jarak Euclidean'!B35</f>
        <v/>
      </c>
      <c r="C14" s="18">
        <f>'Langkah 1 - Jarak Euclidean'!P35</f>
        <v/>
      </c>
      <c r="D14" s="8">
        <f>'Langkah 1 - Jarak Euclidean'!O35</f>
        <v/>
      </c>
      <c r="E14" s="8">
        <f>'Langkah 1 - Jarak Euclidean'!Q35</f>
        <v/>
      </c>
      <c r="F14" s="8">
        <f>'Langkah 1 - Jarak Euclidean'!R35</f>
        <v/>
      </c>
      <c r="H14" s="9" t="inlineStr">
        <is>
          <t>Musik</t>
        </is>
      </c>
      <c r="I14" s="12">
        <f>COUNTIF($L$6:$L$8, "Musik")</f>
        <v/>
      </c>
    </row>
    <row r="15">
      <c r="A15" s="8" t="n">
        <v>10</v>
      </c>
      <c r="B15" s="9">
        <f>'Langkah 1 - Jarak Euclidean'!B11</f>
        <v/>
      </c>
      <c r="C15" s="18">
        <f>'Langkah 1 - Jarak Euclidean'!P11</f>
        <v/>
      </c>
      <c r="D15" s="8">
        <f>'Langkah 1 - Jarak Euclidean'!O11</f>
        <v/>
      </c>
      <c r="E15" s="8">
        <f>'Langkah 1 - Jarak Euclidean'!Q11</f>
        <v/>
      </c>
      <c r="F15" s="8">
        <f>'Langkah 1 - Jarak Euclidean'!R11</f>
        <v/>
      </c>
      <c r="H15" s="9" t="inlineStr">
        <is>
          <t>Basket</t>
        </is>
      </c>
      <c r="I15" s="12">
        <f>COUNTIF($L$6:$L$8, "Basket")</f>
        <v/>
      </c>
    </row>
    <row r="16">
      <c r="A16" s="8" t="n">
        <v>11</v>
      </c>
      <c r="B16" s="9">
        <f>'Langkah 1 - Jarak Euclidean'!B20</f>
        <v/>
      </c>
      <c r="C16" s="18">
        <f>'Langkah 1 - Jarak Euclidean'!P20</f>
        <v/>
      </c>
      <c r="D16" s="8">
        <f>'Langkah 1 - Jarak Euclidean'!O20</f>
        <v/>
      </c>
      <c r="E16" s="8">
        <f>'Langkah 1 - Jarak Euclidean'!Q20</f>
        <v/>
      </c>
      <c r="F16" s="8">
        <f>'Langkah 1 - Jarak Euclidean'!R20</f>
        <v/>
      </c>
      <c r="H16" s="9" t="inlineStr">
        <is>
          <t>Marching Band</t>
        </is>
      </c>
      <c r="I16" s="12">
        <f>COUNTIF($L$6:$L$8, "Marching Band")</f>
        <v/>
      </c>
    </row>
    <row r="17">
      <c r="A17" s="8" t="n">
        <v>12</v>
      </c>
      <c r="B17" s="9">
        <f>'Langkah 1 - Jarak Euclidean'!B19</f>
        <v/>
      </c>
      <c r="C17" s="18">
        <f>'Langkah 1 - Jarak Euclidean'!P19</f>
        <v/>
      </c>
      <c r="D17" s="8">
        <f>'Langkah 1 - Jarak Euclidean'!O19</f>
        <v/>
      </c>
      <c r="E17" s="8">
        <f>'Langkah 1 - Jarak Euclidean'!Q19</f>
        <v/>
      </c>
      <c r="F17" s="8">
        <f>'Langkah 1 - Jarak Euclidean'!R19</f>
        <v/>
      </c>
      <c r="H17" s="9" t="inlineStr">
        <is>
          <t>Tari</t>
        </is>
      </c>
      <c r="I17" s="12">
        <f>COUNTIF($L$6:$L$8, "Tari")</f>
        <v/>
      </c>
    </row>
    <row r="18">
      <c r="A18" s="8" t="n">
        <v>13</v>
      </c>
      <c r="B18" s="9">
        <f>'Langkah 1 - Jarak Euclidean'!B7</f>
        <v/>
      </c>
      <c r="C18" s="18">
        <f>'Langkah 1 - Jarak Euclidean'!P7</f>
        <v/>
      </c>
      <c r="D18" s="8">
        <f>'Langkah 1 - Jarak Euclidean'!O7</f>
        <v/>
      </c>
      <c r="E18" s="8">
        <f>'Langkah 1 - Jarak Euclidean'!Q7</f>
        <v/>
      </c>
      <c r="F18" s="8">
        <f>'Langkah 1 - Jarak Euclidean'!R7</f>
        <v/>
      </c>
      <c r="H18" s="9" t="inlineStr">
        <is>
          <t>Paskibraka</t>
        </is>
      </c>
      <c r="I18" s="12">
        <f>COUNTIF($L$6:$L$8, "Paskibraka")</f>
        <v/>
      </c>
    </row>
    <row r="19">
      <c r="A19" s="8" t="n">
        <v>14</v>
      </c>
      <c r="B19" s="9">
        <f>'Langkah 1 - Jarak Euclidean'!B29</f>
        <v/>
      </c>
      <c r="C19" s="18">
        <f>'Langkah 1 - Jarak Euclidean'!P29</f>
        <v/>
      </c>
      <c r="D19" s="8">
        <f>'Langkah 1 - Jarak Euclidean'!O29</f>
        <v/>
      </c>
      <c r="E19" s="8">
        <f>'Langkah 1 - Jarak Euclidean'!Q29</f>
        <v/>
      </c>
      <c r="F19" s="8">
        <f>'Langkah 1 - Jarak Euclidean'!R29</f>
        <v/>
      </c>
      <c r="H19" s="9" t="inlineStr">
        <is>
          <t>Sepakbola</t>
        </is>
      </c>
      <c r="I19" s="12">
        <f>COUNTIF($L$6:$L$8, "Sepakbola")</f>
        <v/>
      </c>
    </row>
    <row r="20">
      <c r="A20" s="8" t="n">
        <v>15</v>
      </c>
      <c r="B20" s="9">
        <f>'Langkah 1 - Jarak Euclidean'!B32</f>
        <v/>
      </c>
      <c r="C20" s="18">
        <f>'Langkah 1 - Jarak Euclidean'!P32</f>
        <v/>
      </c>
      <c r="D20" s="8">
        <f>'Langkah 1 - Jarak Euclidean'!O32</f>
        <v/>
      </c>
      <c r="E20" s="8">
        <f>'Langkah 1 - Jarak Euclidean'!Q32</f>
        <v/>
      </c>
      <c r="F20" s="8">
        <f>'Langkah 1 - Jarak Euclidean'!R32</f>
        <v/>
      </c>
    </row>
    <row r="21">
      <c r="A21" s="8" t="n">
        <v>16</v>
      </c>
      <c r="B21" s="9">
        <f>'Langkah 1 - Jarak Euclidean'!B25</f>
        <v/>
      </c>
      <c r="C21" s="18">
        <f>'Langkah 1 - Jarak Euclidean'!P25</f>
        <v/>
      </c>
      <c r="D21" s="8">
        <f>'Langkah 1 - Jarak Euclidean'!O25</f>
        <v/>
      </c>
      <c r="E21" s="8">
        <f>'Langkah 1 - Jarak Euclidean'!Q25</f>
        <v/>
      </c>
      <c r="F21" s="8">
        <f>'Langkah 1 - Jarak Euclidean'!R25</f>
        <v/>
      </c>
      <c r="H21" s="10" t="inlineStr">
        <is>
          <t>HASIL REKOMENDASI EKSTRAKURIKULER</t>
        </is>
      </c>
    </row>
    <row r="22">
      <c r="A22" s="8" t="n">
        <v>17</v>
      </c>
      <c r="B22" s="9">
        <f>'Langkah 1 - Jarak Euclidean'!B30</f>
        <v/>
      </c>
      <c r="C22" s="18">
        <f>'Langkah 1 - Jarak Euclidean'!P30</f>
        <v/>
      </c>
      <c r="D22" s="8">
        <f>'Langkah 1 - Jarak Euclidean'!O30</f>
        <v/>
      </c>
      <c r="E22" s="8">
        <f>'Langkah 1 - Jarak Euclidean'!Q30</f>
        <v/>
      </c>
      <c r="F22" s="8">
        <f>'Langkah 1 - Jarak Euclidean'!R30</f>
        <v/>
      </c>
      <c r="H22" s="20" t="inlineStr">
        <is>
          <t>Kategori Ekskul Terpilih:</t>
        </is>
      </c>
      <c r="I22" s="21">
        <f>INDEX(H12:H19, MATCH(MAX(I12:I19), I12:I19, 0))</f>
        <v/>
      </c>
    </row>
    <row r="23">
      <c r="A23" s="8" t="n">
        <v>18</v>
      </c>
      <c r="B23" s="9">
        <f>'Langkah 1 - Jarak Euclidean'!B37</f>
        <v/>
      </c>
      <c r="C23" s="18">
        <f>'Langkah 1 - Jarak Euclidean'!P37</f>
        <v/>
      </c>
      <c r="D23" s="8">
        <f>'Langkah 1 - Jarak Euclidean'!O37</f>
        <v/>
      </c>
      <c r="E23" s="8">
        <f>'Langkah 1 - Jarak Euclidean'!Q37</f>
        <v/>
      </c>
      <c r="F23" s="8">
        <f>'Langkah 1 - Jarak Euclidean'!R37</f>
        <v/>
      </c>
    </row>
    <row r="24">
      <c r="A24" s="8" t="n">
        <v>19</v>
      </c>
      <c r="B24" s="9">
        <f>'Langkah 1 - Jarak Euclidean'!B12</f>
        <v/>
      </c>
      <c r="C24" s="18">
        <f>'Langkah 1 - Jarak Euclidean'!P12</f>
        <v/>
      </c>
      <c r="D24" s="8">
        <f>'Langkah 1 - Jarak Euclidean'!O12</f>
        <v/>
      </c>
      <c r="E24" s="8">
        <f>'Langkah 1 - Jarak Euclidean'!Q12</f>
        <v/>
      </c>
      <c r="F24" s="8">
        <f>'Langkah 1 - Jarak Euclidean'!R12</f>
        <v/>
      </c>
    </row>
    <row r="25">
      <c r="A25" s="8" t="n">
        <v>20</v>
      </c>
      <c r="B25" s="9">
        <f>'Langkah 1 - Jarak Euclidean'!B17</f>
        <v/>
      </c>
      <c r="C25" s="18">
        <f>'Langkah 1 - Jarak Euclidean'!P17</f>
        <v/>
      </c>
      <c r="D25" s="8">
        <f>'Langkah 1 - Jarak Euclidean'!O17</f>
        <v/>
      </c>
      <c r="E25" s="8">
        <f>'Langkah 1 - Jarak Euclidean'!Q17</f>
        <v/>
      </c>
      <c r="F25" s="8">
        <f>'Langkah 1 - Jarak Euclidean'!R17</f>
        <v/>
      </c>
    </row>
    <row r="26">
      <c r="A26" s="8" t="n">
        <v>21</v>
      </c>
      <c r="B26" s="9">
        <f>'Langkah 1 - Jarak Euclidean'!B28</f>
        <v/>
      </c>
      <c r="C26" s="18">
        <f>'Langkah 1 - Jarak Euclidean'!P28</f>
        <v/>
      </c>
      <c r="D26" s="8">
        <f>'Langkah 1 - Jarak Euclidean'!O28</f>
        <v/>
      </c>
      <c r="E26" s="8">
        <f>'Langkah 1 - Jarak Euclidean'!Q28</f>
        <v/>
      </c>
      <c r="F26" s="8">
        <f>'Langkah 1 - Jarak Euclidean'!R28</f>
        <v/>
      </c>
    </row>
    <row r="27">
      <c r="A27" s="8" t="n">
        <v>22</v>
      </c>
      <c r="B27" s="9">
        <f>'Langkah 1 - Jarak Euclidean'!B26</f>
        <v/>
      </c>
      <c r="C27" s="18">
        <f>'Langkah 1 - Jarak Euclidean'!P26</f>
        <v/>
      </c>
      <c r="D27" s="8">
        <f>'Langkah 1 - Jarak Euclidean'!O26</f>
        <v/>
      </c>
      <c r="E27" s="8">
        <f>'Langkah 1 - Jarak Euclidean'!Q26</f>
        <v/>
      </c>
      <c r="F27" s="8">
        <f>'Langkah 1 - Jarak Euclidean'!R26</f>
        <v/>
      </c>
    </row>
    <row r="28">
      <c r="A28" s="8" t="n">
        <v>23</v>
      </c>
      <c r="B28" s="9">
        <f>'Langkah 1 - Jarak Euclidean'!B23</f>
        <v/>
      </c>
      <c r="C28" s="18">
        <f>'Langkah 1 - Jarak Euclidean'!P23</f>
        <v/>
      </c>
      <c r="D28" s="8">
        <f>'Langkah 1 - Jarak Euclidean'!O23</f>
        <v/>
      </c>
      <c r="E28" s="8">
        <f>'Langkah 1 - Jarak Euclidean'!Q23</f>
        <v/>
      </c>
      <c r="F28" s="8">
        <f>'Langkah 1 - Jarak Euclidean'!R23</f>
        <v/>
      </c>
    </row>
    <row r="29">
      <c r="A29" s="8" t="n">
        <v>24</v>
      </c>
      <c r="B29" s="9">
        <f>'Langkah 1 - Jarak Euclidean'!B36</f>
        <v/>
      </c>
      <c r="C29" s="18">
        <f>'Langkah 1 - Jarak Euclidean'!P36</f>
        <v/>
      </c>
      <c r="D29" s="8">
        <f>'Langkah 1 - Jarak Euclidean'!O36</f>
        <v/>
      </c>
      <c r="E29" s="8">
        <f>'Langkah 1 - Jarak Euclidean'!Q36</f>
        <v/>
      </c>
      <c r="F29" s="8">
        <f>'Langkah 1 - Jarak Euclidean'!R36</f>
        <v/>
      </c>
    </row>
    <row r="30">
      <c r="A30" s="8" t="n">
        <v>25</v>
      </c>
      <c r="B30" s="9">
        <f>'Langkah 1 - Jarak Euclidean'!B24</f>
        <v/>
      </c>
      <c r="C30" s="18">
        <f>'Langkah 1 - Jarak Euclidean'!P24</f>
        <v/>
      </c>
      <c r="D30" s="8">
        <f>'Langkah 1 - Jarak Euclidean'!O24</f>
        <v/>
      </c>
      <c r="E30" s="8">
        <f>'Langkah 1 - Jarak Euclidean'!Q24</f>
        <v/>
      </c>
      <c r="F30" s="8">
        <f>'Langkah 1 - Jarak Euclidean'!R24</f>
        <v/>
      </c>
    </row>
    <row r="31">
      <c r="A31" s="8" t="n">
        <v>26</v>
      </c>
      <c r="B31" s="9">
        <f>'Langkah 1 - Jarak Euclidean'!B16</f>
        <v/>
      </c>
      <c r="C31" s="18">
        <f>'Langkah 1 - Jarak Euclidean'!P16</f>
        <v/>
      </c>
      <c r="D31" s="8">
        <f>'Langkah 1 - Jarak Euclidean'!O16</f>
        <v/>
      </c>
      <c r="E31" s="8">
        <f>'Langkah 1 - Jarak Euclidean'!Q16</f>
        <v/>
      </c>
      <c r="F31" s="8">
        <f>'Langkah 1 - Jarak Euclidean'!R16</f>
        <v/>
      </c>
    </row>
    <row r="32">
      <c r="A32" s="8" t="n">
        <v>27</v>
      </c>
      <c r="B32" s="9">
        <f>'Langkah 1 - Jarak Euclidean'!B21</f>
        <v/>
      </c>
      <c r="C32" s="18">
        <f>'Langkah 1 - Jarak Euclidean'!P21</f>
        <v/>
      </c>
      <c r="D32" s="8">
        <f>'Langkah 1 - Jarak Euclidean'!O21</f>
        <v/>
      </c>
      <c r="E32" s="8">
        <f>'Langkah 1 - Jarak Euclidean'!Q21</f>
        <v/>
      </c>
      <c r="F32" s="8">
        <f>'Langkah 1 - Jarak Euclidean'!R21</f>
        <v/>
      </c>
    </row>
    <row r="33">
      <c r="A33" s="8" t="n">
        <v>28</v>
      </c>
      <c r="B33" s="9">
        <f>'Langkah 1 - Jarak Euclidean'!B6</f>
        <v/>
      </c>
      <c r="C33" s="18">
        <f>'Langkah 1 - Jarak Euclidean'!P6</f>
        <v/>
      </c>
      <c r="D33" s="8">
        <f>'Langkah 1 - Jarak Euclidean'!O6</f>
        <v/>
      </c>
      <c r="E33" s="8">
        <f>'Langkah 1 - Jarak Euclidean'!Q6</f>
        <v/>
      </c>
      <c r="F33" s="8">
        <f>'Langkah 1 - Jarak Euclidean'!R6</f>
        <v/>
      </c>
    </row>
    <row r="34">
      <c r="A34" s="8" t="n">
        <v>29</v>
      </c>
      <c r="B34" s="9">
        <f>'Langkah 1 - Jarak Euclidean'!B8</f>
        <v/>
      </c>
      <c r="C34" s="18">
        <f>'Langkah 1 - Jarak Euclidean'!P8</f>
        <v/>
      </c>
      <c r="D34" s="8">
        <f>'Langkah 1 - Jarak Euclidean'!O8</f>
        <v/>
      </c>
      <c r="E34" s="8">
        <f>'Langkah 1 - Jarak Euclidean'!Q8</f>
        <v/>
      </c>
      <c r="F34" s="8">
        <f>'Langkah 1 - Jarak Euclidean'!R8</f>
        <v/>
      </c>
    </row>
    <row r="35">
      <c r="A35" s="8" t="n">
        <v>30</v>
      </c>
      <c r="B35" s="9">
        <f>'Langkah 1 - Jarak Euclidean'!B34</f>
        <v/>
      </c>
      <c r="C35" s="18">
        <f>'Langkah 1 - Jarak Euclidean'!P34</f>
        <v/>
      </c>
      <c r="D35" s="8">
        <f>'Langkah 1 - Jarak Euclidean'!O34</f>
        <v/>
      </c>
      <c r="E35" s="8">
        <f>'Langkah 1 - Jarak Euclidean'!Q34</f>
        <v/>
      </c>
      <c r="F35" s="8">
        <f>'Langkah 1 - Jarak Euclidean'!R34</f>
        <v/>
      </c>
    </row>
    <row r="36">
      <c r="A36" s="8" t="n">
        <v>31</v>
      </c>
      <c r="B36" s="9">
        <f>'Langkah 1 - Jarak Euclidean'!B33</f>
        <v/>
      </c>
      <c r="C36" s="18">
        <f>'Langkah 1 - Jarak Euclidean'!P33</f>
        <v/>
      </c>
      <c r="D36" s="8">
        <f>'Langkah 1 - Jarak Euclidean'!O33</f>
        <v/>
      </c>
      <c r="E36" s="8">
        <f>'Langkah 1 - Jarak Euclidean'!Q33</f>
        <v/>
      </c>
      <c r="F36" s="8">
        <f>'Langkah 1 - Jarak Euclidean'!R33</f>
        <v/>
      </c>
    </row>
    <row r="37">
      <c r="A37" s="8" t="n">
        <v>32</v>
      </c>
      <c r="B37" s="9">
        <f>'Langkah 1 - Jarak Euclidean'!B18</f>
        <v/>
      </c>
      <c r="C37" s="18">
        <f>'Langkah 1 - Jarak Euclidean'!P18</f>
        <v/>
      </c>
      <c r="D37" s="8">
        <f>'Langkah 1 - Jarak Euclidean'!O18</f>
        <v/>
      </c>
      <c r="E37" s="8">
        <f>'Langkah 1 - Jarak Euclidean'!Q18</f>
        <v/>
      </c>
      <c r="F37" s="8">
        <f>'Langkah 1 - Jarak Euclidean'!R18</f>
        <v/>
      </c>
    </row>
  </sheetData>
  <mergeCells count="4">
    <mergeCell ref="H21:L21"/>
    <mergeCell ref="H4:L4"/>
    <mergeCell ref="A4:F4"/>
    <mergeCell ref="H10:L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57" customWidth="1" min="1" max="1"/>
    <col width="37" customWidth="1" min="2" max="2"/>
    <col width="38" customWidth="1" min="3" max="3"/>
    <col width="37" customWidth="1" min="4" max="4"/>
    <col width="37" customWidth="1" min="5" max="5"/>
    <col width="37" customWidth="1" min="6" max="6"/>
  </cols>
  <sheetData>
    <row r="1">
      <c r="A1" s="1" t="inlineStr">
        <is>
          <t>LEMBAR HASIL PERHITUNGAN MANUAL K-NEAREST NEIGHBORS (K-NN)</t>
        </is>
      </c>
    </row>
    <row r="2">
      <c r="A2" s="2" t="inlineStr">
        <is>
          <t>MTsN 2 Pesisir Selatan - Rekomendasi Ekstrakurikuler Siswa</t>
        </is>
      </c>
    </row>
    <row r="3"/>
    <row r="4">
      <c r="A4" s="3" t="inlineStr">
        <is>
          <t>1. IDENTITAS &amp; NILAI AKADEMIK SISWA UJI</t>
        </is>
      </c>
    </row>
    <row r="5">
      <c r="A5" s="22" t="inlineStr">
        <is>
          <t>Nama Siswa</t>
        </is>
      </c>
      <c r="B5" s="23">
        <f>'Data &amp; Parameter'!B5</f>
        <v/>
      </c>
      <c r="D5" s="22" t="inlineStr">
        <is>
          <t>Nilai Bahasa Indonesia</t>
        </is>
      </c>
      <c r="E5" s="23">
        <f>'Data &amp; Parameter'!B9</f>
        <v/>
      </c>
    </row>
    <row r="6">
      <c r="A6" s="22" t="inlineStr">
        <is>
          <t>Nilai Matematika</t>
        </is>
      </c>
      <c r="B6" s="23">
        <f>'Data &amp; Parameter'!B6</f>
        <v/>
      </c>
      <c r="D6" s="22" t="inlineStr">
        <is>
          <t>Nilai PJOK</t>
        </is>
      </c>
      <c r="E6" s="23">
        <f>'Data &amp; Parameter'!B10</f>
        <v/>
      </c>
    </row>
    <row r="7">
      <c r="A7" s="22" t="inlineStr">
        <is>
          <t>Nilai IPA</t>
        </is>
      </c>
      <c r="B7" s="23">
        <f>'Data &amp; Parameter'!B7</f>
        <v/>
      </c>
      <c r="D7" s="22" t="inlineStr">
        <is>
          <t>Nilai Seni Budaya</t>
        </is>
      </c>
      <c r="E7" s="23">
        <f>'Data &amp; Parameter'!B11</f>
        <v/>
      </c>
    </row>
    <row r="8">
      <c r="A8" s="22" t="inlineStr">
        <is>
          <t>Nilai IPS</t>
        </is>
      </c>
      <c r="B8" s="23">
        <f>'Data &amp; Parameter'!B8</f>
        <v/>
      </c>
      <c r="D8" s="22" t="inlineStr">
        <is>
          <t>Nilai Parameter K</t>
        </is>
      </c>
      <c r="E8" s="23">
        <f>'Data &amp; Parameter'!B12</f>
        <v/>
      </c>
    </row>
    <row r="9"/>
    <row r="10">
      <c r="A10" s="3" t="inlineStr">
        <is>
          <t>2. DETAIL 3 TETANGGA TERDEKAT (TOP K NEIGHBORS)</t>
        </is>
      </c>
    </row>
    <row r="11">
      <c r="A11" s="7" t="inlineStr">
        <is>
          <t>No (K)</t>
        </is>
      </c>
      <c r="B11" s="7" t="inlineStr">
        <is>
          <t>Nama Siswa Data Training</t>
        </is>
      </c>
      <c r="C11" s="7" t="inlineStr">
        <is>
          <t>Jarak Euclidean</t>
        </is>
      </c>
      <c r="D11" s="7" t="inlineStr">
        <is>
          <t>Total Selisih Kuadrat</t>
        </is>
      </c>
      <c r="E11" s="7" t="inlineStr">
        <is>
          <t>Rank</t>
        </is>
      </c>
      <c r="F11" s="7" t="inlineStr">
        <is>
          <t>Ekstrakurikuler</t>
        </is>
      </c>
    </row>
    <row r="12">
      <c r="A12" s="8" t="n">
        <v>1</v>
      </c>
      <c r="B12" s="9">
        <f>'Langkah 2 - Ranking &amp; Voting'!I6</f>
        <v/>
      </c>
      <c r="C12" s="18">
        <f>'Langkah 2 - Ranking &amp; Voting'!J6</f>
        <v/>
      </c>
      <c r="D12" s="8">
        <f>'Langkah 2 - Ranking &amp; Voting'!D6</f>
        <v/>
      </c>
      <c r="E12" s="8">
        <f>'Langkah 2 - Ranking &amp; Voting'!K6</f>
        <v/>
      </c>
      <c r="F12" s="8">
        <f>'Langkah 2 - Ranking &amp; Voting'!L6</f>
        <v/>
      </c>
    </row>
    <row r="13">
      <c r="A13" s="8" t="n">
        <v>2</v>
      </c>
      <c r="B13" s="9">
        <f>'Langkah 2 - Ranking &amp; Voting'!I7</f>
        <v/>
      </c>
      <c r="C13" s="18">
        <f>'Langkah 2 - Ranking &amp; Voting'!J7</f>
        <v/>
      </c>
      <c r="D13" s="8">
        <f>'Langkah 2 - Ranking &amp; Voting'!D7</f>
        <v/>
      </c>
      <c r="E13" s="8">
        <f>'Langkah 2 - Ranking &amp; Voting'!K7</f>
        <v/>
      </c>
      <c r="F13" s="8">
        <f>'Langkah 2 - Ranking &amp; Voting'!L7</f>
        <v/>
      </c>
    </row>
    <row r="14">
      <c r="A14" s="8" t="n">
        <v>3</v>
      </c>
      <c r="B14" s="9">
        <f>'Langkah 2 - Ranking &amp; Voting'!I8</f>
        <v/>
      </c>
      <c r="C14" s="18">
        <f>'Langkah 2 - Ranking &amp; Voting'!J8</f>
        <v/>
      </c>
      <c r="D14" s="8">
        <f>'Langkah 2 - Ranking &amp; Voting'!D8</f>
        <v/>
      </c>
      <c r="E14" s="8">
        <f>'Langkah 2 - Ranking &amp; Voting'!K8</f>
        <v/>
      </c>
      <c r="F14" s="8">
        <f>'Langkah 2 - Ranking &amp; Voting'!L8</f>
        <v/>
      </c>
    </row>
    <row r="15"/>
    <row r="16">
      <c r="A16" s="3" t="inlineStr">
        <is>
          <t>3. KESIMPULAN REKOMENDASI EKSTRAKURIKULER</t>
        </is>
      </c>
    </row>
    <row r="17">
      <c r="A17" s="24" t="inlineStr">
        <is>
          <t>Berdasarkan perhitungan jarak Euclidean dan voting dari 3 tetangga terdekat, rekomendasi ekstrakurikuler terbaik untuk siswa atas nama Abdi Wijaya adalah:</t>
        </is>
      </c>
    </row>
    <row r="18"/>
    <row r="19">
      <c r="B19" s="20" t="inlineStr">
        <is>
          <t>REKOMENDASI HASIL K-NN:</t>
        </is>
      </c>
      <c r="C19" s="25">
        <f>'Langkah 2 - Ranking &amp; Voting'!I22</f>
        <v/>
      </c>
    </row>
  </sheetData>
  <mergeCells count="4">
    <mergeCell ref="A16:F16"/>
    <mergeCell ref="A17:F17"/>
    <mergeCell ref="A10:F10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2026-07-29T05:38:04Z</dcterms:created>
  <dcterms:modified xmlns:dcterms="http://purl.org/dc/terms/" xmlns:xsi="http://www.w3.org/2001/XMLSchema-instance" xsi:type="dcterms:W3CDTF">2026-07-29T05:38:04Z</dcterms:modified>
</cp:coreProperties>
</file>